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ao.victor\Documents\Data Lake\"/>
    </mc:Choice>
  </mc:AlternateContent>
  <xr:revisionPtr revIDLastSave="0" documentId="13_ncr:1_{7535F000-9808-4399-A3C7-F09919635668}" xr6:coauthVersionLast="47" xr6:coauthVersionMax="47" xr10:uidLastSave="{00000000-0000-0000-0000-000000000000}"/>
  <bookViews>
    <workbookView xWindow="28815" yWindow="-9060" windowWidth="29040" windowHeight="16440" xr2:uid="{8EB7FF54-A34C-474C-8A34-FBF5CE40CAE3}"/>
  </bookViews>
  <sheets>
    <sheet name="Endpoints (Raw)" sheetId="4" r:id="rId1"/>
    <sheet name="Business Rules (Silver &amp; Gold)" sheetId="5" r:id="rId2"/>
    <sheet name="Automations" sheetId="1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D672DC-37B1-4DFB-813A-A423A23ED439}" keepAlive="1" name="Consulta - GVulnerabilities-Vulns_04-2026" description="Conexão com a consulta 'GVulnerabilities-Vulns_04-2026' na pasta de trabalho." type="5" refreshedVersion="8" background="1" saveData="1">
    <dbPr connection="Provider=Microsoft.Mashup.OleDb.1;Data Source=$Workbook$;Location=GVulnerabilities-Vulns_04-2026;Extended Properties=&quot;&quot;" command="SELECT * FROM [GVulnerabilities-Vulns_04-2026]"/>
  </connection>
</connections>
</file>

<file path=xl/sharedStrings.xml><?xml version="1.0" encoding="utf-8"?>
<sst xmlns="http://schemas.openxmlformats.org/spreadsheetml/2006/main" count="256" uniqueCount="167">
  <si>
    <t>Endpoint</t>
  </si>
  <si>
    <t>Status</t>
  </si>
  <si>
    <t>Full</t>
  </si>
  <si>
    <t>10Mb</t>
  </si>
  <si>
    <r>
      <t>(</t>
    </r>
    <r>
      <rPr>
        <b/>
        <sz val="14"/>
        <color rgb="FF000000"/>
        <rFont val="Aptos Narrow"/>
        <family val="2"/>
        <scheme val="minor"/>
      </rPr>
      <t>Active</t>
    </r>
    <r>
      <rPr>
        <sz val="14"/>
        <color rgb="FF000000"/>
        <rFont val="Aptos Narrow"/>
        <scheme val="minor"/>
      </rPr>
      <t xml:space="preserve"> </t>
    </r>
    <r>
      <rPr>
        <b/>
        <sz val="14"/>
        <color rgb="FF000000"/>
        <rFont val="Aptos Narrow"/>
        <scheme val="minor"/>
      </rPr>
      <t>Vulns</t>
    </r>
    <r>
      <rPr>
        <sz val="14"/>
        <color rgb="FF000000"/>
        <rFont val="Aptos Narrow"/>
        <scheme val="minor"/>
      </rPr>
      <t>) - /vulns/export</t>
    </r>
  </si>
  <si>
    <t>20Mb</t>
  </si>
  <si>
    <r>
      <t>(</t>
    </r>
    <r>
      <rPr>
        <b/>
        <sz val="14"/>
        <color rgb="FF000000"/>
        <rFont val="Aptos Narrow"/>
        <family val="2"/>
        <scheme val="minor"/>
      </rPr>
      <t>Fixed</t>
    </r>
    <r>
      <rPr>
        <sz val="14"/>
        <color rgb="FF000000"/>
        <rFont val="Aptos Narrow"/>
        <scheme val="minor"/>
      </rPr>
      <t xml:space="preserve"> </t>
    </r>
    <r>
      <rPr>
        <b/>
        <sz val="14"/>
        <color rgb="FF000000"/>
        <rFont val="Aptos Narrow"/>
        <scheme val="minor"/>
      </rPr>
      <t>Vulns</t>
    </r>
    <r>
      <rPr>
        <sz val="14"/>
        <color rgb="FF000000"/>
        <rFont val="Aptos Narrow"/>
        <scheme val="minor"/>
      </rPr>
      <t>) - /vulns/export</t>
    </r>
  </si>
  <si>
    <t>Incremental</t>
  </si>
  <si>
    <r>
      <rPr>
        <sz val="14"/>
        <color rgb="FF000000"/>
        <rFont val="Aptos Narrow"/>
        <scheme val="minor"/>
      </rPr>
      <t>(</t>
    </r>
    <r>
      <rPr>
        <b/>
        <sz val="14"/>
        <color rgb="FF000000"/>
        <rFont val="Aptos Narrow"/>
        <scheme val="minor"/>
      </rPr>
      <t>Assets</t>
    </r>
    <r>
      <rPr>
        <sz val="14"/>
        <color rgb="FF000000"/>
        <rFont val="Aptos Narrow"/>
        <scheme val="minor"/>
      </rPr>
      <t>) - /api/v1/list</t>
    </r>
  </si>
  <si>
    <t>SILVER_GVulnerabilities-Assets</t>
  </si>
  <si>
    <t>SILVER_GVulnerabilities-ActiveVulns</t>
  </si>
  <si>
    <t>NA</t>
  </si>
  <si>
    <t>SILVER_GVulnerabilities-FixedVulns</t>
  </si>
  <si>
    <r>
      <t>(</t>
    </r>
    <r>
      <rPr>
        <b/>
        <sz val="14"/>
        <color rgb="FF000000"/>
        <rFont val="Aptos Narrow"/>
        <family val="2"/>
        <scheme val="minor"/>
      </rPr>
      <t>Assets</t>
    </r>
    <r>
      <rPr>
        <sz val="14"/>
        <color rgb="FF000000"/>
        <rFont val="Aptos Narrow"/>
        <scheme val="minor"/>
      </rPr>
      <t>) - /assets/export</t>
    </r>
  </si>
  <si>
    <t>RAW_Device-Policies</t>
  </si>
  <si>
    <r>
      <t>(</t>
    </r>
    <r>
      <rPr>
        <b/>
        <sz val="14"/>
        <color rgb="FF000000"/>
        <rFont val="Aptos Narrow"/>
        <family val="2"/>
        <scheme val="minor"/>
      </rPr>
      <t>USB Query</t>
    </r>
    <r>
      <rPr>
        <sz val="14"/>
        <color rgb="FF000000"/>
        <rFont val="Aptos Narrow"/>
        <family val="2"/>
        <scheme val="minor"/>
      </rPr>
      <t>) 
- /humio/api/v1/repositories/{repository}/queryjobs
- /humio/api/v1/repositories/{repository}/queryjobs/{id}</t>
    </r>
  </si>
  <si>
    <t>RAW_Device-Usage</t>
  </si>
  <si>
    <r>
      <t>(</t>
    </r>
    <r>
      <rPr>
        <b/>
        <sz val="14"/>
        <color rgb="FF000000"/>
        <rFont val="Aptos Narrow"/>
        <family val="2"/>
        <scheme val="minor"/>
      </rPr>
      <t>USB Policies</t>
    </r>
    <r>
      <rPr>
        <sz val="14"/>
        <color rgb="FF000000"/>
        <rFont val="Aptos Narrow"/>
        <family val="2"/>
        <scheme val="minor"/>
      </rPr>
      <t>) 
- /policy/queries/device-control/v1
- /policy/entities/device-control/v2</t>
    </r>
  </si>
  <si>
    <t>SILVER_Device-Usage</t>
  </si>
  <si>
    <t>SILVER_Devices-Policies</t>
  </si>
  <si>
    <t>SILVER_Device-Management</t>
  </si>
  <si>
    <t>AUTOMATA_Revoke-USB-Device-Usage</t>
  </si>
  <si>
    <t>The Data Science team is responsible for running the routine that queries the described endpoint, applying the required filters, and storing the data in the Raw layer of the Data Lake.</t>
  </si>
  <si>
    <t>Vulnerability Management (Assets)</t>
  </si>
  <si>
    <t>Vulnerability Management (Active Vulns)</t>
  </si>
  <si>
    <t>Vulnerability Management (Fixed Vulns)</t>
  </si>
  <si>
    <t>Device Management (USB)</t>
  </si>
  <si>
    <t>Device Policies (USB)</t>
  </si>
  <si>
    <t>Device Appearance (USB)</t>
  </si>
  <si>
    <t>{
    "Device": "ExampleMobile ExampleMobile Phone (S/N: SN-EXAMPLE-001)",
    "DeviceClass": "Mobile (MTP/PTP) | Use class information in the Interface Descriptors | Vendor Specific Class",
    "DeviceProductId": "16385",
    "ComputerName": "host-example-01",
    "Date": "2026-06-25 11:38:53",
    "DeviceId": "6018_16385_SN-EXAMPLE-001",
    "DcPolicyAction": "Full block",
    "DeviceSerialNumber": "SN-EXAMPLE-001",
    "event_platform": "Win",
    "DeviceVendorId": "6018",
    "ConnectionType": "USB"
}</t>
  </si>
  <si>
    <t>{
    "Date": "2026-06-25 13:24:23",
    "Platform": "Win",
    "Computer Name": "host-example-02",
    "Device Name": "Example Vendor Example Vendor (S/N: Example Vendor)",
    "Device Vendor Id": "1155",
    "Device Product Id": "22304",
    "Device Serial Id": "Example Vendor",
    "Device Combined Id": "1155_22304_Example Vendor",
    "Policy Action": "Full access (mass storage)",
    "Device Class": "Mass Storage | Use class information in the Interface Descriptors",
    "Connection Type": "USB",
    "Reference Month": "06",
    "Reference Year": "2026",
    "Reference Date": "2026-06-25"
}</t>
  </si>
  <si>
    <t>{
    "Department": "IT-PRODUCTS",
    "Server Id": "00000000-0000-0000-0000-000000000001",
    "Server VM": "HOST-EXAMPLE-03",
    "Server Name": "host-example-03",
     "Server Type": "Unix Server",
    "Score ACR": 5.0,
    "Score AES": 679.0,
    "Vulns Critical": "-",
    "Vulns High": "-",
    "Vulns Medium": "-",
    "Vulns Low": "-",
    "Vulns Total": "-",
    "Mac Address": [
        "00:00:5E:00:53:02",
      ],
    "Last Seen": "2026-03-24",
    "Last Department": "TI",
    "Department Changed": true,
    "Server Has Agent?": true,
    "Server Installed Softwares": [
        "docker",
        "exiv2",
        "libexiv2",
        "gnome-shell",
        "libgcrypt",
        "curl",
        "libcurl",
        "containerd",
        "node.js",
        "openssl",
        "openssl",
        "podman",
        "nessus_agent",
        "xz",
        "vim",
        "open_vm_tools",
        "falcon_sensor"
    ],
    "Reference Month": "06",
     "Reference Year": "2026",
     "Reference Date": "2026-06-01"
}</t>
  </si>
  <si>
    <t>{
    "Department": "DEV-SUPPORT",
    "Severity": "High",
    "Server Id": "00000000-0000-0000-0000-000000000002",
    "Server VM": "HOST-EXAMPLE-04",
    "Server Name": "host-example-04",
    "Server Ip": "10.0.0.3",
    "Server Type": "Unix Server",
    "Server System": "Oracle Linux Server 9.7",
    "Vuln Age-in-days": 28,
    "Vuln Group": 299303,
    "Vuln Id": "003327a6-2fa9-546e-ae75-2ae1b1dde73a",
    "Vuln Name": "Oracle Linux 8 / 9 : Unbreakable Enterprise kernel (ELSA-2026-50113)",
    "Vuln Family": "Oracle Linux Local Security Checks",
    "Vuln Resume": "The remote Oracle Linux host is missing one or more security updates.",
    "Vuln Solution": "Update the affected packages.",
    "Vuln CVEs": [
        "CVE-2018-1000204"
    ],
    "Vuln Source": "AGENT",
    "Vuln State": "OPEN",
    "Risk State": "NONE",
    "First Seen": "2026-02-24",
    "VPR": 6.7,
    "VPR v2": 7.6,
    "VPR v2 Percentile": 98.57,
    "EPSS Score": 0.171,
    "Exploit Available": true,
    "Exploit Code Maturity": "UNPROVEN",
    "Exploitability Ease": "Exploits are available",
    "Exploited By Malware": false,
    "Exploited By Nessus": false,
    "On CISA KEV": false,
    "Reference Month": "06",
     "Reference Year": "2026",
     "Reference Date": "2026-06-01"
}</t>
  </si>
  <si>
    <t>{
    "Department": "DEV-SUPPORT",
    "Severity": "High",
    "Server Id": "00000000-0000-0000-0000-000000000002",
    "Server VM": "HOST-EXAMPLE-04",
    "Server Name": "host-example-04",
    "Server Ip": "10.0.0.3",
    "Server Type": "Unix Server",
    "Server System": "Oracle Linux Server 9.7",
    "Vuln Group": 299303,
    "Vuln Id": "003327a6-2fa9-546e-ae75-2ae1b1dde73a",
    "Vuln Name": "Oracle Linux 8 / 9 : Unbreakable Enterprise kernel (ELSA-2026-50113)",
    "Vuln Family": "Oracle Linux Local Security Checks",
    "Vuln Resume": "The remote Oracle Linux host is missing one or more security updates.",
    "Vuln Solution": "Update the affected packages.",
    "Vuln CVEs": [
        "CVE-2018-1000204"
    ],
    "Vuln Source": "AGENT",
    "Vuln State": "FIXED",    
   "First Seen": "2026-02-22",
   "Last Fixed": "2026-02-24",
    "VPR": 6.7,
    "VPR v2": 7.6,
    "VPR v2 Percentile": 98.57,
    "EPSS Score": 0.171,
    "Exploit Available": true,
    "Exploit Code Maturity": "UNPROVEN",
    "Exploitability Ease": "Exploits are available",
    "Exploited By Malware": false,
    "Exploited By Nessus": false,
    "On CISA KEV": false,
    "Reference Month": "06",
     "Reference Year": "2026",
     "Reference Date": "2026-06-01"
}</t>
  </si>
  <si>
    <t>{
    "id": "00000000-0000-0000-0000-000000000001",
    "has_agent": true,
    "has_plugin_results": true,
    "created_at": "2026-02-24T11:12:41.507Z",
    "terminated_at": null,
    "terminated_by": null,
    "updated_at": "2026-03-13T13:11:18.427Z",
    "deleted_at": null,
    "deleted_by": null,
    "first_seen": "2026-02-24T11:12:41.507Z",
    "last_seen": "2026-03-13T01:55:16.437Z",
    "first_scan_time": "2026-02-24T11:12:41.507Z",
    "last_scan_time": "2026-03-13T01:55:16.437Z",
    "last_authenticated_scan_date": "2026-03-13T01:53:42.507Z",
    "last_licensed_scan_date": "2026-03-13T01:53:42.507Z",
    "last_scan_id": "1b6fc021-bbab-4a35-9631-9277d988065d",
    "last_schedule_id": "8dd4c916-a1f1-80ba-82fa-f9e870a24e3a86cd63430d35ad17",
    "azure_vm_id": null,
    "azure_resource_id": null,
    "gcp_project_id": null,
    "gcp_zone": null,
    "gcp_instance_id": null,
    "aws_ec2_instance_ami_id": null,
    "aws_ec2_instance_id": null,
    "agent_uuid": "aaaaaaaaaaaaaaaaaaaaaaaaaaaaaaa1",
    "bios_uuid": "00000000-0000-0000-0000-0000000000b1",
    "network_id": "00000000-0000-0000-0000-000000000000",
    "network_name": "Default",
    "aws_owner_id": null,
    "aws_availability_zone": null,
    "aws_region": null,
    "aws_vpc_id": null,
    "aws_ec2_instance_group_name": null,
    "aws_ec2_instance_state_name": null,
    "aws_ec2_instance_type": null,
    "aws_subnet_id": null,
    "aws_ec2_product_code": null,
    "aws_ec2_name": null,
    "mcafee_epo_guid": null,
    "mcafee_epo_agent_guid": null,
    "servicenow_sysid": null,
    "bigfix_asset_id": null,
    "agent_names": [
        "host-example-03"
    ],
    "installed_software": [
        "cpe:/a:docker:docker:29.2.1",
        "cpe:/a:exiv2:exiv2:0.28.3",
        "cpe:/a:exiv2:libexiv2:0.28.3",
        "cpe:/a:gnome:gnome-shell:47.8",
        "cpe:/a:gnupg:libgcrypt:1.11.0",
        "cpe:/a:haxx:curl:8.12.1",
        "cpe:/a:haxx:libcurl:8.12.1",
        "cpe:/a:linuxfoundation:containerd:2.2.1",
        "cpe:/a:nodejs:node.js:22.22.0",
        "cpe:/a:openssl:openssl:3.0.19",
        "cpe:/a:openssl:openssl:3.5.1",
        "cpe:/a:podman_project:podman:5.6.0",
        "cpe:/a:tenable:nessus_agent:11.1.2",
        "cpe:/a:tukaani:xz:5.6.2",
        "cpe:/a:vim:vim:9.1",
        "cpe:/a:vmware:open_vm_tools:13.0.0",
        "cpe:/a:crowdstrike:falcon_sensor:7.34.0"
    ],
    "ipv4s": [
        "10.0.0.1",
        "192.0.2.22",
        "10.0.0.2"
    ],
    "ipv6s": [],
    "fqdns": [],
    "mac_addresses": [
        "00:00:5E:00:53:01"
    ],
    "netbios_names": [],
    "operating_systems": [
        "Oracle Linux Server 10.1"
    ],
    "system_types": [
        "general-purpose"
    ],
    "hostnames": [
        "host-example-03"
    ],
    "ssh_fingerprints": [],
    "qualys_asset_ids": [],
    "qualys_host_ids": [],
    "manufacturer_tpm_ids": [],
    "symantec_ep_hardware_keys": [],
    "sources": [
        {
            "name": "NESSUS_AGENT",
            "first_seen": "2026-02-24T11:12:41.507Z",
            "last_seen": "2026-03-13T01:55:16.437Z"
        }
    ],
    "tags": [
        {
            "uuid": "96fa4d54-09c5-49c9-96c0-556f73f2157a",
            "key": "SYSTEM",
            "value": "Unix Server (Group TI)",
            "added_by": null,
            "added_at": "2026-03-02T12:04:58.318Z"
        },
        {
            "uuid": "e0ea05fc-f74c-49cb-b8af-63f7e2db1b60",
            "key": "GROUP",
            "value": "TI",
            "added_by": null,
            "added_at": "2026-03-02T12:03:15.398Z"
        },
        {
            "uuid": "5777ad85-e043-4a68-99e4-b394ba06c4ba",
            "key": "SETOR",
            "value": "TI",
            "added_by": "73d94f7f-d18a-4ce3-a110-f886e6bf0bb5",
            "added_at": "2026-03-02T12:02:27.700Z"
        },
        {
            "uuid": "9aa5d514-ae05-4a8c-a962-a0b5f4a88e0f",
            "key": "SYSTEM",
            "value": "Unix Server",
            "added_by": null,
            "added_at": "2026-02-24T11:50:02.999Z"
        }
    ],
    "network_interfaces": [
        {
            "name": "br-80cab7bfe5d0",
            "virtual": null,
            "aliased": null,
            "fqdns": [],
            "mac_addresses": [
                "00:00:5E:00:53:01"
            ],
            "ipv4s": [
                "10.0.0.1"
            ],
            "ipv6s": []
        },
        {
            "name": "docker0",
            "virtual": null,
            "aliased": null,
            "fqdns": [],
            "mac_addresses": [
                "00:00:5E:00:53:02"
            ],
            "ipv4s": [],
            "ipv6s": []
        },
        {
            "name": "ens32",
            "virtual": null,
            "aliased": null,
            "fqdns": [],
            "mac_addresses": [
                "00:00:5E:00:53:03"
            ],
            "ipv4s": [
                "192.0.2.22"
            ],
            "ipv6s": []
        },
        {
            "name": "br-1c2c3c180096",
            "virtual": null,
            "aliased": null,
            "fqdns": [],
            "mac_addresses": [
                "00:00:5E:00:53:04"
            ],
            "ipv4s": [
                "10.0.0.2"
            ],
            "ipv6s": []
        },
        {
            "name": "UNKNOWN",
            "virtual": null,
            "aliased": null,
            "fqdns": [],
            "mac_addresses": [
                "00:00:5E:00:53:05"
            ],
            "ipv4s": [],
            "ipv6s": []
        },
        {
            "name": "UNKNOWN",
            "virtual": null,
            "aliased": null,
            "fqdns": [],
            "mac_addresses": [
                "00:00:5E:00:53:03"
            ],
            "ipv4s": [],
            "ipv6s": []
        },
        {
            "name": "UNKNOWN",
            "virtual": null,
            "aliased": null,
            "fqdns": [],
            "mac_addresses": [
                "00:00:5E:00:53:06"
            ],
            "ipv4s": [],
            "ipv6s": []
        },
        {
            "name": "UNKNOWN",
            "virtual": null,
            "aliased": null,
            "fqdns": [],
            "mac_addresses": [
                "00:00:5E:00:53:07"
            ],
            "ipv4s": [],
            "ipv6s": []
        },
        {
            "name": "UNKNOWN",
            "virtual": null,
            "aliased": null,
            "fqdns": [],
            "mac_addresses": [
                "00:00:5E:00:53:08"
            ],
            "ipv4s": [],
            "ipv6s": []
        },
        {
            "name": "UNKNOWN",
            "virtual": null,
            "aliased": null,
            "fqdns": [],
            "mac_addresses": [
                "00:00:5E:00:53:02"
            ],
            "ipv4s": [],
            "ipv6s": []
        },
        {
            "name": "UNKNOWN",
            "virtual": null,
            "aliased": null,
            "fqdns": [],
            "mac_addresses": [
                "00:00:5E:00:53:09"
            ],
            "ipv4s": [],
            "ipv6s": []
        },
        {
            "name": "UNKNOWN",
            "virtual": null,
            "aliased": null,
            "fqdns": [],
            "mac_addresses": [
                "00:00:5E:00:53:01"
            ],
            "ipv4s": [],
            "ipv6s": []
        }
    ],
    "open_ports": [],
    "last_authentication_scan_status": "N/A",
    "serial_number": null,
    "acr_score": "5.0",
    "exposure_score": "688.0",
    "ratings": {
        "acr": {
            "score": 5.0
        },
        "aes": {
            "score": 688.0
        }
    }
}</t>
  </si>
  <si>
    <t>{
    "Policy Id": "example-policy-id-002",
    "Policy Name": "Custom: Temp Read",
    "Policy Platform": "Windows",
    "Policy Enabled": true,
    "Enhanced File Metadata": true,
    "USB Enforcement Mode": "MONITOR_ONLY",
    "USB Device Class": "ANY",
    "USB Device Class Action": "FULL_ACCESS",
    "Exception Id": "-",
    "Exception Action": "-",
    "Match Method": "-",
    "Device Vendor Id": "-",
    "Device Product Id": "-",
    "Device Serial Id": "NA",
    "Device Combined Id": "-",
    "Description": "-",
    "Created At": "-",
    "Modified At": "-",
    "Reference Month": "06",
    "Reference Year": "2026",
    "Reference Date": "2026-06-25"
}</t>
  </si>
  <si>
    <t>{
    "id": "example-policy-id-001",
    "cid": "example-cid-001",
    "name": "Custom: Whitelisted",
    "description": "",
    "platform_id": "0",
    "platform_name": "Windows",
    "assignment_type": "Automatic",
    "groups": [
        "83987eabf5af4b0a98846394bee0f37a"
    ],
    "precedence": 2,
    "enabled": true,
    "created_by": "user@example.com",
    "created_timestamp": "2024-08-02T19:23:21.974551959Z",
    "modified_by": "user@example.com",
    "modified_timestamp": "2025-05-15T16:20:48.36288218Z",
    "usb_settings": {
        "enforcement_mode": "MONITOR_ENFORCE",
        "end_user_notification": "NOTIFY_USER",
        "classes": [
            {
                "id": "2e73f47c8ee8432fb9191315aa3c4bea",
                "class": "ANY",
                "action": "FULL_ACCESS",
                "exceptions": []
            },
            {
                "id": "4940a85e3e8049488bf3b4a678ece10e",
                "class": "AUDIO_VIDEO",
                "action": "FULL_ACCESS",
                "exceptions": []
            },
            {
                "id": "d398dbeb2eb444f49728dfb6459aa506",
                "class": "IMAGING",
                "action": "FULL_ACCESS",
                "exceptions": []
            },
            {
                "id": "41cae278b9e94f6caa92526cbac668e8",
                "class": "MASS_STORAGE",
                "action": "FULL_ACCESS",
                "exceptions": []
            },
            {
                "id": "118354b525ed441fb8fff6574e8523de",
                "class": "MOBILE",
                "action": "FULL_ACCESS",
                "exceptions": []
            },
            {
                "id": "6625c49d19e6450b9edff9e6948ad1ab",
                "class": "PRINTER",
                "action": "FULL_ACCESS",
                "exceptions": []
            },
            {
                "id": "cf47d04c44984b848aa1973805111804",
                "class": "WIRELESS",
                "action": "FULL_ACCESS",
                "exceptions": []
            }
        ],
        "whitelist_mode": "DISABLE_VIRTUAL",
        "enhanced_file_metadata": false,
        "pcie_enforcement_mode": "MONITOR_ONLY"
    },
    "usb_channel_version": 414,
    "settings_hash": "9de5367"
}</t>
  </si>
  <si>
    <t>github.com/example-org/CYBER__DeviceControl</t>
  </si>
  <si>
    <t>github.com/example-org/CYBER__GVulnerabilities</t>
  </si>
  <si>
    <t>github.com/example-org/CYBER__Gvulnerabilities</t>
  </si>
  <si>
    <t>{
    "id":"vm-00001",
    "uuid":"00000000-0000-0000-000000000003",
    "tenant":"EXAMPLECORP_ORG",
    "vdc":"EXAMPLECORP_VDC-01",
    "vmName":"HOST-EXAMPLE-05",
    "os":"Rocky Linux (64-bit)",
    "powerState":true,
    "vmware_tools":true,
    "vmware_tools_version":"13312",
    "hostname":"HOST-EXAMPLE-05",
    "macAddress":[
        "00:00:5E:00:53:0A",
        "00:00:5E:00:53:0B"
    ],
    "ipAddress":[
        "fe80::14ff:8dff:fe56:48cf",
        "10.0.0.1",
        "192.0.2.25",
        "10.0.0.4",
        "fe80::9742:d073:fa67:e2ca",
        "fe80::250:56ff:fe01:3bd7"
    ],
    "lun":[
        "FS7200-VMWARE-TIO-01-CLOUD-CATALOG",
        "FS7300-VMWARE-TIO-01-CLOUD-T1-DATA-023",
        "FS7300-VMWARE-TIO-01-CLOUD-T1-DATA-026"
    ],
    "metadata":{
        "APPLIANCE":false,
        "AMBIENTE":"PRD",
        "SISTEMA":"PORTABILIDADE",
        "FUNCAO":"APLICA\u00c7\u00c3O",
        "SETOR":"5G-CORE",
        "RESPONSAVEL":"JOHN SMITH",
        "CRITICO":true,
        "PRECISA_BACKUP":true,
        "OBS":null,
        "APPLIANCE_5G":false
    },
    "is_template":false,
    "created_at":"2025-04-28T19:08:21.408784Z",
    "cluster":"DC-SC-TIO-01",
    "host_vendor":"Dell Inc.",
    "host_model":"PowerEdge MX740c",
    "host_ip":"192.0.2.115",
    "type":"vm",
    "environment":"vcloud",
    "vcenter_name":"EXAMPLE-VIRT01",
    "owner":"owner@example.com"
}</t>
  </si>
  <si>
    <t>{
    "Usage History (Days)":7,
    "Is Active":false,
    "Exception Id":"example-exception-id-001",
    "Exception Action":"FULL_ACCESS",
    "Connection Type":"-",
    "Match Method":"COMBINED_ID",
    "Device Vendor Id":"1452",
    "Device Product Id":"4776",
    "Device Serial Id":"SN-EXAMPLE-002",
    "Device Combined Id":"1452_4776_SN-EXAMPLE-002",
    "Device Name":"-",
    "Description":"John Smith",
    "Created At":"2026-01-07",
    "Modified At":"2026-01-07",
    "Last Seen":"-",
    "Last Connected Machines":"-",
    "Policy Id":"example-policy-id-003",
    "Policy Name":"Custom: Workstations",
    "Policy Platform":"Windows",
    "Policy Enabled":true,
    "Enhanced File Metadata":false,
    "USB Enforcement Mode":"MONITOR_ENFORCE",
    "USB Device Class":"ANY",
    "USB Device Class Action":"FULL_ACCESS",
    "Reference Month":"06",
    "Reference Year":"2026",
    "Reference Date":"2026-06-25"
}</t>
  </si>
  <si>
    <t>ITSM</t>
  </si>
  <si>
    <t>PAM</t>
  </si>
  <si>
    <t>In production</t>
  </si>
  <si>
    <t>In staging</t>
  </si>
  <si>
    <t>Inactive</t>
  </si>
  <si>
    <t>Weekly</t>
  </si>
  <si>
    <t>Monthly</t>
  </si>
  <si>
    <t>Daily</t>
  </si>
  <si>
    <t>Quarterly</t>
  </si>
  <si>
    <t>Sundays at 05:00 (AM)</t>
  </si>
  <si>
    <t>Sundays at 05:30 (AM)</t>
  </si>
  <si>
    <t>1st day of month at 04:00 (AM)</t>
  </si>
  <si>
    <t>Sundays at 01:00 (AM) and 1st day of month at 01:00 (AM)</t>
  </si>
  <si>
    <t>1st day of month at 01:00 (AM)</t>
  </si>
  <si>
    <t>Sundays at 02:00 (AM) and 1st day of month at 02:00 (AM)</t>
  </si>
  <si>
    <t>1st day of month at 02:00 (AM)</t>
  </si>
  <si>
    <t>1st day of month at 04:30 (AM)</t>
  </si>
  <si>
    <t>Sundays at 03:00 (AM) and 1st day of month at 03:00 (AM)</t>
  </si>
  <si>
    <t>10th day of month at 07:00 (AM)</t>
  </si>
  <si>
    <t>10th day of month at 11:00 (AM)</t>
  </si>
  <si>
    <t>Every day at 09:00 (AM)</t>
  </si>
  <si>
    <t>Endpoint Catalog (Raw)</t>
  </si>
  <si>
    <t>Platform</t>
  </si>
  <si>
    <t>Description</t>
  </si>
  <si>
    <t>Load Type</t>
  </si>
  <si>
    <t>Frequency</t>
  </si>
  <si>
    <t>Volume per Frequency</t>
  </si>
  <si>
    <t>Execution Schedule</t>
  </si>
  <si>
    <t>Routine Name</t>
  </si>
  <si>
    <t>Extraction</t>
  </si>
  <si>
    <t>Filters</t>
  </si>
  <si>
    <t>Storage (Raw)</t>
  </si>
  <si>
    <t>Sample (Raw)</t>
  </si>
  <si>
    <t>Last Review Date</t>
  </si>
  <si>
    <t>Owner</t>
  </si>
  <si>
    <t>Base Project (Github)</t>
  </si>
  <si>
    <t>Returns the result of a query about the usage of devices within the defined range.</t>
  </si>
  <si>
    <t>Returns all removable-device policies along with their configured information and exceptions.</t>
  </si>
  <si>
    <t>Returns the host inventory list from the Vulnerability Scanner platform.</t>
  </si>
  <si>
    <t>Returns the inventory list of active vulnerabilities from the Vulnerability Scanner platform.</t>
  </si>
  <si>
    <t>Returns the inventory list of fixed vulnerabilities from the Vulnerability Scanner platform.</t>
  </si>
  <si>
    <t>Returns the host inventory list from the Virtualization platform.</t>
  </si>
  <si>
    <t>RAW_VulnScanner-Assets</t>
  </si>
  <si>
    <t>RAW_VulnScanner-ActiveVulns</t>
  </si>
  <si>
    <t>RAW_VulnScanner-FixedVulns</t>
  </si>
  <si>
    <t>RAW_Virtualization-Assets</t>
  </si>
  <si>
    <t>Business Rules (Silver &amp; Gold)</t>
  </si>
  <si>
    <t>Context/Project</t>
  </si>
  <si>
    <t>Sources (Raw)</t>
  </si>
  <si>
    <t>Sources (Silver)</t>
  </si>
  <si>
    <t>Processing Pipeline</t>
  </si>
  <si>
    <t>Data Structuring (Silver)</t>
  </si>
  <si>
    <t>Generated Audits</t>
  </si>
  <si>
    <t>Storage (Silver)</t>
  </si>
  <si>
    <t>Output (Silver)</t>
  </si>
  <si>
    <t>Indicators (Gold)</t>
  </si>
  <si>
    <t>The Data Science team is responsible for obtaining the raw data from the Raw layer and structuring it as shown in the next step.</t>
  </si>
  <si>
    <t>Automations</t>
  </si>
  <si>
    <t>Routine</t>
  </si>
  <si>
    <t>SOAR Routine Name</t>
  </si>
  <si>
    <t>The SOAR tool is responsible for obtaining the processed data from the Silver layer and cross-referencing it. The first part is:
Assets.json:
Identify hosts whose Department Changed column == True and call the Vulnerability Scanner API to change/create/set the department according to the Department column.</t>
  </si>
  <si>
    <t>The SOAR tool is responsible for obtaining the processed data from the Silver layer, applying the required filters, and cleaning up the remaining assets via the Vulnerability Scanner API.</t>
  </si>
  <si>
    <t>AUTOMATA_Tags-in-Virtualization-VulnScanner</t>
  </si>
  <si>
    <t>AUTOMATA_Unwatched-in-Virtualization-VulnScanner</t>
  </si>
  <si>
    <t>{
    "asset": {
        "agent_uuid": "aaaaaaaaaaaaaaaaaaaaaaaaaaaaaaa2",
        "bios_uuid": "00000000-0000-0000-0000-0000000000b2",
        "device_type": "general-purpose",
        "hostname": "host-example-04",
        "uuid": "00000000-0000-0000-0000-000000000002",
        "ipv4": "10.0.0.3",
        "last_authenticated_results": "2026-03-13T02:02:32.988Z",
        "mac_address": "00:00:5E:00:53:0C",
        "operating_system": [
            "Oracle Linux Server 9.7"
        ],
        "network_id": "00000000-0000-0000-0000-000000000000",
        "tracked": true
    },
    "output": "\nPackage kernel-uek-5.15.0-317.197.5.1.el9uek is installed.\nHowever, according to uname -r, the current running kernel level is 5.15.0-315.196.5.1.el9uek.\nThis system requires a reboot to begin using the patched kernel level.\n\nPackage kernel-uek-core-5.15.0-317.197.5.1.el9uek is installed.\nHowever, according to uname -r, the current running kernel level is 5.15.0-315.196.5.1.el9uek.\nThis system requires a reboot to begin using the patched kernel level.\n\nPackage kernel-uek-modules-5.15.0-317.197.5.1.el9uek is installed.\nHowever, according to uname -r, the current running kernel level is 5.15.0-315.196.5.1.el9uek.\nThis system requires a reboot to begin using the patched kernel level.\n\n",
    "plugin": {
        "checks_for_default_account": false,
        "checks_for_malware": false,
        "cpe": [
            "p-cpe:/a:oracle:linux:kernel-uek-container",
            "cpe:/o:oracle:linux:8",
            "p-cpe:/a:oracle:linux:kernel-uek-doc"
        ],
        "cvss3_base_score": 7.8,
        "cvss3_temporal_score": 7.0,
        "cvss3_temporal_vector": {
            "exploitability": "Proof-of-Concept",
            "remediation_level": "Official Fix",
            "report_confidence": "Confirmed",
            "raw": "E:P/RL:O/RC:C"
        },
        "cvss3_vector": {
            "access_complexity": "Low",
            "access_vector": "Local",
            "availability_impact": "High",
            "confidentiality_impact": "High",
            "integrity_impact": "High",
            "raw": "AV:L/AC:L/PR:L/UI:N/S:U/C:H/I:H/A:H"
        },
        "cvss_base_score": 6.3,
        "cvss_temporal_score": 4.9,
        "cvss_temporal_vector": {
            "exploitability": "Proof-of-Concept",
            "remediation_level": "Official Fix",
            "report_confidence": "Confirmed",
            "raw": "E:POC/RL:OF/RC:C"
        },
        "cvss_vector": {
            "access_complexity": "Medium",
            "access_vector": "Network",
            "authentication": "Single",
            "availability_impact": "None",
            "confidentiality_impact": "Complete",
            "integrity_impact": "None",
            "raw": "AV:N/AC:M/Au:S/C:C/I:N/A:N"
        },
        "description": "The remote Oracle Linux 8 / 9 host has packages installed that are affected by multiple vulnerabilities as referenced in the ELSA-2026-50113 advisory.\n\n    - sunrpc: fix client side handling of tls alerts (Olga Kornievskaia)  [Orabug: 38334981]  {CVE-2025-38571}\n    - sunrpc: fix handling of server side tls alerts (Olga Kornievskaia)  [Orabug: 38334968]  {CVE-2025-38566}\n    - xfrm: delete x-&gt;tunnel as we delete x (Sabrina Dubroca)  [Orabug: 38730492]  {CVE-2025-40215}\n    - net/sched: sch_cake: Fix incorrect qlen reduction in cake_drop (Xiang Mei) [Orabug: 38783137]     {CVE-2025-68325}\n    - fuse: fix readahead reclaim deadlock (Joanne Koong) [Orabug: 38847946] {CVE-2025-68821}\n    - PCI/AER: Avoid NULL pointer dereference in aer_ratelimit() (Breno Leitao) [Orabug: 38597010]     {CVE-2025-40034}\n    - mlx5: Fix default values in create CQ (Akiva Goldberger) [Orabug: 38420735,38773370] {CVE-2025-68209}\n    - scsi: megaraid_sas: Fix invalid node index (Chen Yu) [Orabug: 38175026] {CVE-2025-38239}\n    - RDMA/mlx5: Fix a WARN during dereg_mr for DM type (Yishai Hadas) [Orabug: 37766291,38463999]     {CVE-2025-21888}\n    - scsi: pm80xx: Set phy-&gt;enable_completion only when we (Igor Pylypiv) [Orabug: 37159744] {CVE-2024-47666}\n    - usb: renesas_usbhs: Fix synchronous external abort on unbind (Claudiu Beznea) [Orabug: 38792571]     {CVE-2025-68327}\n    - smb: client: fix memory leak in cifs_construct_tcon() (Paulo Alcantara) [Orabug: 38773704]     {CVE-2025-68295}\n    - mptcp: Fix proto fallback detection with BPF (Jiayuan Chen) [Orabug: 38773435] {CVE-2025-68227}\n    - libceph: prevent potential out-of-bounds writes in handle_auth_session_key() (Ziming Zhang) [Orabug:\n    38773649] {CVE-2025-68284}\n    - libceph: fix potential use-after-free in have_mon_and_osd_map() (Ilya Dryomov) [Orabug: 38773655]     {CVE-2025-68285}\n    - drm/amd/display: Check NULL before accessing (Alex Hung) [Orabug: 38773664] {CVE-2025-68286}\n    - usb: dwc3: Fix race condition between concurrent dwc3_remove_requests() call paths (Manish Nagar)     [Orabug: 38773671] {CVE-2025-68287}\n    - usb: uas: fix urb unmapping issue when the uas device is remove during ongoing data transfer (Owen Gu)     [Orabug: 38792593] {CVE-2025-68331}\n    - usb: storage: sddr55: Reject out-of-bound new_pba (Tianchu Chen) [Orabug: 38762730] {CVE-2025-40345}\n    - usb: storage: Fix memory leak in USB bulk transport (Desnes Nunes) [Orabug: 38773677]     {CVE-2018-1000204,CVE-2025-68288}\n    - usb: gadget: f_eem: Fix memory leak in eem_unwrap (Kuen-Han Tsai) [Orabug: 38773687] {CVE-2025-68289}\n    - iio: accel: bmc150: Fix irq assumption regression (Linus Walleij) [Orabug: 38792587] {CVE-2025-68330}\n    - net: atlantic: fix fragment overflow handling in RX path (Jiefeng Zhang) [Orabug: 38773729]     {CVE-2025-68301}\n    - can: kvaser_usb: leaf: Fix potential infinite loop in command parsers (Seungjin Bae) [Orabug: 38773760]     {CVE-2025-68308}\n    - mptcp: fix a race in mptcp_pm_del_add_timer() (Eric Dumazet) [Orabug: 38730656] {CVE-2025-40257}\n    - net: netpoll: fix incorrect refcount handling causing incorrect cleanup (Breno Leitao) [Orabug:\n    38773509] {CVE-2025-68245}\n    - btrfs: fix crash on racing fsync and size-extending write into prealloc (Omar Sandoval) [Orabug:\n    36774582] {CVE-2024-37354}\n    - mm/secretmem: fix use-after-free race in fault handler (Lance Yang) [Orabug: 38737039] {CVE-2025-40272}\n    - vsock: Ignore signal/timeout on connect() if already established (Michal Luczaj) [Orabug:\n    38730611,38786193,38788594] {CVE-2025-40248}\n    - net: qlogic/qede: fix potential out-of-bounds read in qede_tpa_cont() and qede_tpa_end() (Pavel     Zhigulin) [Orabug: 38730629] {CVE-2025-40252}\n    - net: openvswitch: remove never-working support for setting nsh fields (Ilya Maximets) [Orabug: 38730648]     {CVE-2025-40254}\n    - mptcp: fix race condition in mptcp_schedule_work() (Eric Dumazet) [Orabug: 38730659] {CVE-2025-40258}\n    - scsi: target: tcm_loop: Fix segfault in tcm_loop_tpg_address_show() (Hamza Mahfooz) [Orabug: 38773440]     {CVE-2025-68229}\n    - scsi: sg: Do not sleep in atomic context (Bart Van Assche) [Orabug: 38730663] {CVE-2025-40259}\n    - nvme: nvme-fc: Ensure -&gt;ioerr_work is cancelled in nvme_fc_delete_ctrl() (Ewan D. Milne) [Orabug:\n    38730673] {CVE-2025-40261}\n    - Input: cros_ec_keyb - fix an invalid memory access (Tzung-Bi Shih) [Orabug: 38730680] {CVE-2025-40263}\n    - be2net: pass wrb_params in case of OS2BMC (Andrey Vatoropin) [Orabug: 38730689] {CVE-2025-40264}\n    - isdn: mISDN: hfcsusb: fix memory leak in hfcsusb_probe() (Abdun Nihaal) [Orabug: 38798907]     {CVE-2025-68734}\n    - ALSA: usb-audio: Fix potential overflow of PCM transfer buffer (Takashi Iwai) [Orabug: 38737023]     {CVE-2025-40269}\n    - fs/proc: fix uaf in proc_readdir_de() (Wei Yang) [Orabug: 38737033,38786194,38788587] {CVE-2025-40271}\n    - ipv4: route: Prevent rt_bind_exception() from rebinding stale fnhe (Chuang Wang) [Orabug: 38773495]     {CVE-2025-68241}\n    - NFSD: free copynotify stateid in nfs4_free_ol_stateid() (Olga Kornievskaia) [Orabug: 38737042]     {CVE-2025-40273}\n    - mm/ksm: fix flag-dropping behavior in ksm_madvise (Jakub Acs) [Orabug: 38592026] {CVE-2025-40040}\n    - bpf: Add bpf_prog_run_data_pointers() (Eric Dumazet) [Orabug: 38773327] {CVE-2025-68200}\n    - ALSA: usb-audio: Fix NULL pointer dereference in snd_usb_mixer_controls_badd (Haein Lee) [Orabug:\n    38737051] {CVE-2025-40275}\n    - drm/vmwgfx: Validate command header size against SVGA_CMD_MAX_DATASIZE (Ian Forbes) [Orabug: 38737060]     {CVE-2025-40277}\n    - net: sched: act_connmark: initialize struct tc_ife to fix kernel leak (Ranganath V N) [Orabug: 38737072]     {CVE-2025-40279}\n    - tipc: Fix use-after-free in tipc_mon_reinit_self(). (Kuniyuki Iwashima) [Orabug:\n    38737082,38786195,38788585] {CVE-2025-40280}\n    - sctp: prevent possible shift-out-of-bounds in sctp_transport_update_rto (Eric Dumazet) [Orabug:\n    38737090] {CVE-2025-40281}\n    - Bluetooth: btusb: reorder cleanup in btusb_disconnect to avoid UAF (Raphael Pinsonneault-Thibeault)     [Orabug: 38737103] {CVE-2025-40283}\n    - drm/i915: Avoid lock inversion when pinning to GGTT on CHV/BXT+VTD (Janusz Krzysztofik) [Orabug:\n    38773506] {CVE-2025-68244}\n    - net: usb: qmi_wwan: initialize MAC header offset in qmimux_rx_fixup (Qendrim Maxhuni) [Orabug: 38773282]     {CVE-2025-68192}\n    - sctp: Prevent TOCTOU out-of-bounds write (Stefan Wiehler) [Orabug: 38747446] {CVE-2025-40331}\n    - fbdev: Add bounds checking in bit_putcs to fix vmalloc-out-of-bounds (Albin Babu Varghese) [Orabug:\n    38737181] {CVE-2025-40304}\n    - Bluetooth: bcsp: receive data only if registered (Ivan Pravdin) [Orabug: 38737212] {CVE-2025-40308}\n    - Bluetooth: SCO: Fix UAF on sco_conn_free (Luiz Augusto von Dentz) [Orabug: 38737223] {CVE-2025-40309}\n    - fs: ext4: change GFP_KERNEL to GFP_NOFS to avoid deadlock (Chuguangqing) [Orabug: 38773127]     {CVE-2025-40361}\n    - nfs4_setup_readdir(): insufficient locking for -&gt;d_parent-&gt;d_inode dereferencing (Al Viro) [Orabug:\n    38773244] {CVE-2025-68185}\n    - page_pool: always add GFP_NOWARN for ATOMIC allocations (Jakub Kicinski) [Orabug: 38773835]     {CVE-2025-68321}\n    - udp_tunnel: use netdev_warn() instead of netdev_WARN() (Alok Tiwari) [Orabug: 38773275] {CVE-2025-68191}\n    - media: imon: make send_packet() more robust (Tetsuo Handa) [Orabug: 38773297] {CVE-2025-68194}\n    - net: ipv6: fix field-spanning memcpy warning in AH output (Charalampos Mitrodimas) [Orabug: 38773140]     {CVE-2025-40363}\n    - nvme-fc: use lock accessing port_state and rport state (Daniel Wagner) [Orabug: 38747531]     {CVE-2025-40342}\n    - nvmet-fc: avoid scheduling association deletion twice (Daniel Wagner) [Orabug: 38747538]     {CVE-2025-40343}\n    - drm/sysfb: Do not dereference NULL pointer in plane reset (Thomas Zimmermann) [Orabug: 38773123]     {CVE-2025-40360}\n    - usbnet: Prevents free active kevent (Lizhi Xu) [Orabug: 38773783] {CVE-2025-68312}\n    - bpf: Sync pending IRQ work before freeing ring buffer (Noorain Eqbal) [Orabug: 38737284]     {CVE-2025-40319}\n    - wifi: brcmfmac: fix crash while sending Action Frames in standalone AP Mode (Gokul Sivakumar) [Orabug:\n    38737291] {CVE-2025-40321}\n    - fbdev: bitblit: bound-check glyph index in bit_putcs* (Junjie Cao) [Orabug: 38737300] {CVE-2025-40322}\n    - ACPI: video: Fix use-after-free in acpi_video_switch_brightness() (Yuhao Jiang) [Orabug: 38687004]     {CVE-2025-40211}\n    - NFSD: Fix crash in nfsd4_read_release() (Chuck Lever) [Orabug: 38737315] {CVE-2025-40324}\n    - net/sched: sch_qfq: Fix null-deref in agg_dequeue (Xiang Mei) [Orabug: 38597084] {CVE-2025-40083}\n    - mm/hugetlb: add option to allows disabling CVE-2025-38085 mitigation (Joe Jin) [Orabug: 38728358]     {CVE-2025-38085}\n    - netfilter: nf_tables: reject duplicate device on updates (Pablo Neira Ayuso) [Orabug: 38389767,38744086]     {CVE-2025-38678}\n    - net/mlx5: Clean up only new IRQ glue on request_irq() failure (Pradyumn Rahar) [Orabug:\n    37961220,38730620] {CVE-2025-40250}\n    - bnxt_en: Fix memory corruption when FW resources change during ifdown (Sreekanth Reddy) [Orabug:\n    38440240] {CVE-2025-39810}\n\nVulnerability Scanner has extracted the preceding description block directly from the Oracle Linux security advisory.\n\nNote that Nessus has not tested for these issues but has instead relied only on the application's self-reported version number.",
        "exploit_available": true,
        "exploit_framework_canvas": false,
        "exploit_framework_core": false,
        "exploit_framework_d2_elliot": false,
        "exploit_framework_exploithub": false,
        "exploit_framework_metasploit": false,
        "exploitability_ease": "Exploits are available",
        "exploited_by_malware": false,
        "exploited_by_nessus": false,
        "family": "Oracle Linux Local Security Checks",
        "family_id": 53,
        "has_patch": true,
        "id": 299303,
        "in_the_news": false,
        "name": "Oracle Linux 8 / 9 : Unbreakable Enterprise kernel (ELSA-2026-50113)",
        "patch_publication_date": "2026-02-15T00:00:00Z",
        "modification_date": "2026-02-17T00:00:00Z",
        "publication_date": "2026-02-17T00:00:00Z",
        "risk_factor": "medium",
        "see_also": [
            "https://linux.oracle.com/errata/ELSA-2026-50113.html"
        ],
        "solution": "Update the affected packages.",
        "synopsis": "The remote Oracle Linux host is missing one or more security updates.",
        "unsupported_by_vendor": false,
        "version": "1.2",
        "vuln_publication_date": "2018-06-08T00:00:00Z",
        "xrefs": [
            {
                "type": "CVE",
                "id": "2025-68821"
            }
        ],
        "vpr": {
            "score": 6.7,
            "drivers": {
                "age_of_vuln": {
                    "lower_bound": 61,
                    "upper_bound": 180
                },
                "exploit_code_maturity": "UNPROVEN",
                "cvss_impact_score_predicted": false,
                "cvss3_impact_score": 5.9,
                "threat_intensity_last28": "VERY_LOW",
                "threat_sources_last28": [
                    "No recorded events"
                ],
                "product_coverage": "LOW"
            },
            "updated": "2026-02-03T06:05:05Z"
        },
        "vpr_v2": {
            "score": 7.6,
            "vpr_percentile": 98.57,
            "vpr_severity": "HIGH",
            "exploit_probability": 0.01,
            "cve_id": "CVE-2025-68301",
            "exploit_code_maturity": "UNPROVEN",
            "on_cisa_kev": false,
            "in_the_news_intensity_last30": "VERY_LOW",
            "in_the_news_recency": "NO_RECORDED_EVENTS",
            "malware_observations_intensity_last30": "VERY_LOW",
            "malware_observations_recency": "NO_RECORDED_EVENTS"
        },
        "has_workaround": false,
        "cve": [
            "CVE-2018-1000204",
            "CVE-2024-37354",
            "CVE-2024-47666",{
    "id": "00000000-0000-0000-0000-000000000001",
    "has_agent": true,
    "has_plugin_results": true,
    "created_at": "2026-02-24T11:12:41.507Z",
    "terminated_at": null,
    "terminated_by": null,
    "updated_at": "2026-03-13T13:11:18.427Z",
    "deleted_at": null,
    "deleted_by": null,
    "first_seen": "2026-02-24T11:12:41.507Z",
    "last_seen": "2026-03-13T01:55:16.437Z",
    "first_scan_time": "2026-02-24T11:12:41.507Z",
    "last_scan_time": "2026-03-13T01:55:16.437Z",
    "last_authenticated_scan_date": "2026-03-13T01:53:42.507Z",
    "last_licensed_scan_date": "2026-03-13T01:53:42.507Z",
    "last_scan_id": "1b6fc021-bbab-4a35-9631-9277d988065d",
    "last_schedule_id": "8dd4c916-a1f1-80ba-82fa-f9e870a24e3a86cd63430d35ad17",
    "azure_vm_id": null,
    "azure_resource_id": null,
    "gcp_project_id": null,
    "gcp_zone": null,
    "gcp_instance_id": null,
    "aws_ec2_instance_ami_id": null,
    "aws_ec2_instance_id": null,
    "agent_uuid": "aaaaaaaaaaaaaaaaaaaaaaaaaaaaaaa1",
    "bios_uuid": "00000000-0000-0000-0000-0000000000b1",
    "network_id": "00000000-0000-0000-0000-000000000000",
    "network_name": "Default",
    "aws_owner_id": null,
    "aws_availability_zone": null,
    "aws_region": null,
    "aws_vpc_id": null,
    "aws_ec2_instance_group_name": null,
    "aws_ec2_instance_state_name": null,
    "aws_ec2_instance_type": null,
    "aws_subnet_id": null,
    "aws_ec2_product_code": null,
    "aws_ec2_name": null,
    "mcafee_epo_guid": null,
    "mcafee_epo_agent_guid": null,
    "servicenow_sysid": null,
    "bigfix_asset_id": null,
    "agent_names": [
        "host-example-03"
    ],
    "installed_software": [
        "cpe:/a:docker:docker:29.2.1",
        "cpe:/a:exiv2:exiv2:0.28.3",
        "cpe:/a:exiv2:libexiv2:0.28.3",
        "cpe:/a:gnome:gnome-shell:47.8",
        "cpe:/a:gnupg:libgcrypt:1.11.0",
        "cpe:/a:haxx:curl:8.12.1",
        "cpe:/a:haxx:libcurl:8.12.1",
        "cpe:/a:linuxfoundation:containerd:2.2.1",
        "cpe:/a:nodejs:node.js:22.22.0",
        "cpe:/a:openssl:openssl:3.0.19",
        "cpe:/a:openssl:openssl:3.5.1",
        "cpe:/a:podman_project:podman:5.6.0",
        "cpe:/a:tenable:nessus_agent:11.1.2",
        "cpe:/a:tukaani:xz:5.6.2",
        "cpe:/a:vim:vim:9.1",
        "cpe:/a:vmware:open_vm_tools:13.0.0",
        "cpe:/a:crowdstrike:falcon_sensor:7.34.0"
    ],
    "ipv4s": [
        "10.0.0.1",
        "192.0.2.22",
        "10.0.0.2"
    ],
    "ipv6s": [],
    "fqdns": [],
    "mac_addresses": [
        "00:00:5E:00:53:01"
    ],
    "netbios_names": [],
    "operating_systems": [
        "Oracle Linux Server 10.1"
    ],
    "system_types": [
        "general-purpose"
    ],
    "hostnames": [
        "host-example-03"
    ],
    "ssh_fingerprints": [],
    "qualys_asset_ids": [],
    "qualys_host_ids": [],
    "manufacturer_tpm_ids": [],
    "symantec_ep_hardware_keys": [],
    "sources": [
        {
            "name": "NESSUS_AGENT",
            "first_seen": "2026-02-24T11:12:41.507Z",
            "last_seen": "2026-03-13T01:55:16.437Z"
        }
    ],
    "tags": [
        {
            "uuid": "96fa4d54-09c5-49c9-96c0-556f73f2157a",
            "key": "SYSTEM",
            "value": "Unix Server (Group TI)",
            "added_by": null,
            "added_at": "2026-03-02T12:04:58.318Z"
        },
        {
            "uuid": "e0ea05fc-f74c-49cb-b8af-63f7e2db1b60",
            "key": "GROUP",
            "value": "TI",
            "added_by": null,
            "added_at": "2026-03-02T12:03:15.398Z"
        },
        {
            "uuid": "5777ad85-e043-4a68-99e4-b394ba06c4ba",
            "key": "SETOR",
            "value": "TI",
            "added_by": "73d94f7f-d18a-4ce3-a110-f886e6bf0bb5",
            "added_at": "2026-03-02T12:02:27.700Z"
        },
        {
            "uuid": "9aa5d514-ae05-4a8c-a962-a0b5f4a88e0f",
            "key": "SYSTEM",
            "value": "Unix Server",
            "added_by": null,
            "added_at": "2026-02-24T11:50:02.999Z"
        }
    ],
    "network_interfaces": [
        {
            "name": "br-80cab7bfe5d0",
            "virtual": null,
            "aliased": null,
            "fqdns": [],
            "mac_addresses": [
                "00:00:5E:00:53:01"
            ],
            "ipv4s": [
                "10.0.0.1"
            ],
            "ipv6s": []
        },
        {
            "name": "docker0",
            "virtual": null,
            "aliased": null,
            "fqdns": [],
            "mac_addresses": [
                "00:00:5E:00:53:02"
            ],
            "ipv4s": [],
            "ipv6s": []
        },
        {
            "name": "ens32",
            "virtual": null,
            "aliased": null,
            "fqdns": [],
            "mac_addresses": [
                "00:00:5E:00:53:03"
            ],
            "ipv4s": [
                "192.0.2.22"
            ],
            "ipv6s": []
        },
        {
            "name": "br-1c2c3c180096",
            "virtual": null,
            "aliased": null,
            "fqdns": [],
            "mac_addresses": [
                "00:00:5E:00:53:04"
            ],
            "ipv4s": [
                "10.0.0.2"
            ],
            "ipv6s": []
        },
        {
            "name": "UNKNOWN",
            "virtual": null,
            "aliased": null,
            "fqdns": [],
            "mac_addresses": [
                "00:00:5E:00:53:05"
            ],
            "ipv4s": [],
            "ipv6s": []
        },
        {
            "name": "UNKNOWN",
            "virtual": null,
            "aliased": null,
            "fqdns": [],
            "mac_addresses": [
                "00:00:5E:00:53:03"
            ],
            "ipv4s": [],
            "ipv6s": []
        },
        {
            "name": "UNKNOWN",
            "virtual": null,
            "aliased": null,
            "fqdns": [],
            "mac_addresses": [
                "00:00:5E:00:53:06"
            ],
            "ipv4s": [],
            "ipv6s": []
        },
        {
            "name": "UNKNOWN",
            "virtual": null,
            "aliased": null,
            "fqdns": [],
            "mac_addresses": [
                "00:00:5E:00:53:07"
            ],
            "ipv4s": [],
            "ipv6s": []
        },
        {
            "name": "UNKNOWN",
            "virtual": null,
            "aliased": null,
            "fqdns": [],
            "mac_addresses": [
                "00:00:5E:00:53:08"
            ],
            "ipv4s": [],
            "ipv6s": []
        },
        {
            "name": "UNKNOWN",
            "virtual": null,
            "aliased": null,
            "fqdns": [],
            "mac_addresses": [
                "00:00:5E:00:53:02"
            ],
            "ipv4s": [],
            "ipv6s": []
        },
        {
            "name": "UNKNOWN",
            "virtual": null,
            "aliased": null,
            "fqdns": [],
            "mac_addresses": [
                "00:00:5E:00:53:09"
            ],
            "ipv4s": [],
            "ipv6s": []
        },
        {
            "name": "UNKNOWN",
            "virtual": null,
            "aliased": null,
            "fqdns": [],
            "mac_addresses": [
                "00:00:5E:00:53:01"
            ],
            "ipv4s": [],
            "ipv6s": []
        }
    ],
    "open_ports": [],
    "last_authentication_scan_status": "N/A",
    "serial_number": null,
    "acr_score": "5.0",
    "exposure_score": "688.0",
    "ratings": {
        "acr": {
            "score": 5.0
        },
        "aes": {
            "score": 688.0
        }
    }
}{
    "id": "00000000-0000-0000-0000-000000000001",
    "has_agent": true,
    "has_plugin_results": true,
    "created_at": "2026-02-24T11:12:41.507Z",
    "terminated_at": null,
    "terminated_by": null,
    "updated_at": "2026-03-13T13:11:18.427Z",
    "deleted_at": null,
    "deleted_by": null,
    "first_seen": "2026-02-24T11:12:41.507Z",
    "last_seen": "2026-03-13T01:55:16.437Z",
    "first_scan_time": "2026-02-24T11:12:41.507Z",
    "last_scan_time": "2026-03-13T01:55:16.437Z",
    "last_authenticated_scan_date": "2026-03-13T01:53:42.507Z",
    "last_licensed_scan_date": "2026-03-13T01:53:42.507Z",
    "last_scan_id": "1b6fc021-bbab-4a35-9631-9277d988065d",
    "last_schedule_id": "8dd4c916-a1f1-80ba-82fa-f9e870a24e3a86cd63430d35ad17",
    "azure_vm_id": null,
    "azure_resource_id": null,
    "gcp_project_id": null,
    "gcp_zone": null,
    "gcp_instance_id": null,
    "aws_ec2_instance_ami_id": null,
    "aws_ec2_instance_id": null,
    "agent_uuid": "aaaaaaaaaaaaaaaaaaaaaaaaaaaaaaa1",
    "bios_uuid": "00000000-0000-0000-0000-0000000000b1",
    "network_id": "00000000-0000-0000-0000-000000000000",
    "network_name": "Default",
    "aws_owner_id": null,
    "aws_availability_zone": null,
    "aws_region": null,
    "aws_vpc_id": null,
    "aws_ec2_instance_group_name": null,
    "aws_ec2_instance_state_name": null,
    "aws_ec2_instance_type": null,
    "aws_subnet_id": null,
    "aws_ec2_product_code": null,
    "aws_ec2_name": null,
    "mcafee_epo_guid": null,
    "mcafee_epo_agent_guid": null,
    "servicenow_sysid": null,
    "bigfix_asset_id": null,
    "agent_names": [
        "host-example-03"
    ],
    "installed_software": [
        "cpe:/a:docker:docker:29.2.1",
        "cpe:/a:exiv2:exiv2:0.28.3",
        "cpe:/a:exiv2:libexiv2:0.28.3",
        "cpe:/a:gnome:gnome-shell:47.8",
        "cpe:/a:gnupg:libgcrypt:1.11.0",
        "cpe:/a:haxx:curl:8.12.1",
        "cpe:/a:haxx:libcurl:8.12.1",
        "cpe:/a:linuxfoundation:containerd:2.2.1",
        "cpe:/a:nodejs:node.js:22.22.0",
        "cpe:/a:openssl:openssl:3.0.19",
        "cpe:/a:openssl:openssl:3.5.1",
        "cpe:/a:podman_project:podman:5.6.0",
        "cpe:/a:tenable:nessus_agent:11.1.2",
        "cpe:/a:tukaani:xz:5.6.2",
        "cpe:/a:vim:vim:9.1",
        "cpe:/a:vmware:open_vm_tools:13.0.0",
        "cpe:/a:crowdstrike:falcon_sensor:7.34.0"
    ],
    "ipv4s": [
        "10.0.0.1",
        "192.0.2.22",
        "10.0.0.2"
    ],
    "ipv6s": [],
    "fqdns": [],
    "mac_addresses": [
        "00:00:5E:00:53:01"
    ],
    "netbios_names": [],
    "operating_systems": [
        "Oracle Linux Server 10.1"
    ],
    "system_types": [
        "general-purpose"
    ],
    "hostnames": [
        "host-example-03"
    ],
    "ssh_fingerprints": [],
    "qualys_asset_ids": [],
    "qualys_host_ids": [],
    "manufacturer_tpm_ids": [],
    "symantec_ep_hardware_keys": [],
    "sources": [
        {
            "name": "NESSUS_AGENT",
            "first_seen": "2026-02-24T11:12:41.507Z",
            "last_seen": "2026-03-13T01:55:16.437Z"
        }
    ],
    "tags": [
        {
            "uuid": "96fa4d54-09c5-49c9-96c0-556f73f2157a",
            "key": "SYSTEM",
            "value": "Unix Server (Group TI)",
            "added_by": null,
            "added_at": "2026-03-02T12:04:58.318Z"
        },
        {
            "uuid": "e0ea05fc-f74c-49cb-b8af-63f7e2db1b60",
            "key": "GROUP",
            "value": "TI",
            "added_by": null,
            "added_at": "2026-03-02T12:03:15.398Z"
        },
        {
            "uuid": "5777ad85-e043-4a68-99e4-b394ba06c4ba",
            "key": "SETOR",
            "value": "TI",
            "added_by": "73d94f7f-d18a-4ce3-a110-f886e6bf0bb5",
            "added_at": "2026-03-02T12:02:27.700Z"
        },
        {
            "uuid": "9aa5d514-ae05-4a8c-a962-a0b5f4a88e0f",
            "key": "SYSTEM",
            "value": "Unix Server",
            "added_by": null,
            "added_at": "2026-02-24T11:50:02.999Z"
        }
    ],
    "network_interfaces": [
        {
            "name": "br-80cab7bfe5d0",
            "virtual": null,
            "aliased": null,
            "fqdns": [],
            "mac_addresses": [
                "00:00:5E:00:53:01"
            ],
            "ipv4s": [
                "10.0.0.1"
            ],
            "ipv6s": []
        },
        {
            "name": "docker0",
            "virtual": null,
            "aliased": null,
            "fqdns": [],
            "mac_addresses": [
                "00:00:5E:00:53:02"
            ],
            "ipv4s": [],
            "ipv6s": []
        },
        {
            "name": "ens32",
            "virtual": null,
            "aliased": null,
            "fqdns": [],
            "mac_addresses": [
                "00:00:5E:00:53:03"
            ],
            "ipv4s": [
                "192.0.2.22"
            ],
            "ipv6s": []
        },
        {
            "name": "br-1c2c3c180096",
            "virtual": null,
            "aliased": null,
            "fqdns": [],
            "mac_addresses": [
                "00:00:5E:00:53:04"
            ],
            "ipv4s": [
                "10.0.0.2"
            ],
            "ipv6s": []
        },
        {
            "name": "UNKNOWN",
            "virtual": null,
            "aliased": null,
            "fqdns": [],
            "mac_addresses": [
                "00:00:5E:00:53:05"
            ],
            "ipv4s": [],
            "ipv6s": []
        },
        {
            "name": "UNKNOWN",
            "virtual": null,
            "aliased": null,
            "fqdns": [],
            "mac_addresses": [
                "00:00:5E:00:53:03"
            ],
            "ipv4s": [],
            "ipv6s": []
        },
        {
            "name": "UNKNOWN",
            "virtual": null,
            "aliased": null,
            "fqdns": [],
            "mac_addresses": [
                "00:00:5E:00:53:06"
            ],
            "ipv4s": [],
            "ipv6s": []
        },
        {
            "name": "UNKNOWN",
            "virtual": null,
            "aliased": null,
            "fqdns": [],
            "mac_addresses": [
                "00:00:5E:00:53:07"
            ],
            "ipv4s": [],
            "ipv6s": []
        },
        {
            "name": "UNKNOWN",
            "virtual": null,
            "aliased": null,
            "fqdns": [],
            "mac_addresses": [
                "00:00:5E:00:53:08"
            ],
            "ipv4s": [],
            "ipv6s": []
        },
        {
            "name": "UNKNOWN",
            "virtual": null,
            "aliased": null,
            "fqdns": [],
            "mac_addresses": [
                "00:00:5E:00:53:02"
            ],
            "ipv4s": [],
            "ipv6s": []
        },
        {
            "name": "UNKNOWN",
            "virtual": null,
            "aliased": null,
            "fqdns": [],
            "mac_addresses": [
                "00:00:5E:00:53:09"
            ],
            "ipv4s": [],
            "ipv6s": []
        },
        {
            "name": "UNKNOWN",
            "virtual": null,
            "aliased": null,
            "fqdns": [],
            "mac_addresses": [
                "00:00:5E:00:53:01"
            ],
            "ipv4s": [],
            "ipv6s": []
        }
    ],
    "open_ports": [],
    "last_authentication_scan_status": "N/A",
    "serial_number": null,
    "acr_score": "5.0",
    "exposure_score": "688.0",
    "ratings": {
        "acr": {
            "score": 5.0
        },
        "aes": {
            "score": 688.0
        }
    }
}
            "CVE-2025-68734",
            "CVE-2025-68821"
        ],
        "epss_score": 0.171,
        "type": "local"
    },
    "port": {
        "port": 0,
        "protocol": "TCP"
    },
    "scan": {
        "schedule_uuid": "8dd4c916-a1f1-80ba-82fa-f9e870a24e3a86cd63430d35ad17",
        "started_at": "2026-03-13T01:01:38.929Z",
        "uuid": "1b6fc021-bbab-4a35-9631-9277d988065d",
        "target": "127.0.0.1"
    },
    "severity": "high",
    "severity_id": 3,
    "severity_default_id": 2,
    "severity_modification_type": "NONE",
    "first_found": "2026-02-24T01:50:15.247Z",
    "last_found": "2026-03-13T02:02:32.988Z",
    "state": "OPEN",
    "indexed": "2026-03-13T02:04:26.409923Z",
    "source": "AGENT",
    "finding_id": "003327a6-2fa9-546e-ae75-2ae1b1dde73a"
}</t>
  </si>
  <si>
    <t>{
    "asset": {
        "agent_uuid": "aaaaaaaaaaaaaaaaaaaaaaaaaaaaaaa2",
        "bios_uuid": "00000000-0000-0000-0000-0000000000b2",
        "device_type": "general-purpose",
        "hostname": "host-example-04",
        "uuid": "00000000-0000-0000-0000-000000000002",
        "ipv4": "10.0.0.3",
        "last_authenticated_results": "2026-03-13T02:02:32.988Z",
        "mac_address": "00:00:5E:00:53:0C",
        "operating_system": [
            "Oracle Linux Server 9.7"
        ],
        "network_id": "00000000-0000-0000-0000-000000000000",
        "tracked": true
    },
    "output": "\nPackage kernel-uek-5.15.0-317.197.5.1.el9uek is installed.\nHowever, according to uname -r, the current running kernel level is 5.15.0-315.196.5.1.el9uek.\nThis system requires a reboot to begin using the patched kernel level.\n\nPackage kernel-uek-core-5.15.0-317.197.5.1.el9uek is installed.\nHowever, according to uname -r, the current running kernel level is 5.15.0-315.196.5.1.el9uek.\nThis system requires a reboot to begin using the patched kernel level.\n\nPackage kernel-uek-modules-5.15.0-317.197.5.1.el9uek is installed.\nHowever, according to uname -r, the current running kernel level is 5.15.0-315.196.5.1.el9uek.\nThis system requires a reboot to begin using the patched kernel level.\n\n",
    "plugin": {
        "checks_for_default_account": false,
        "checks_for_malware": false,
        "cpe": [
            "p-cpe:/a:oracle:linux:kernel-uek-container",
            "cpe:/o:oracle:linux:8",
            "p-cpe:/a:oracle:linux:kernel-uek-doc"
        ],
        "cvss3_base_score": 7.8,
        "cvss3_temporal_score": 7.0,
        "cvss3_temporal_vector": {
            "exploitability": "Proof-of-Concept",
            "remediation_level": "Official Fix",
            "report_confidence": "Confirmed",
            "raw": "E:P/RL:O/RC:C"
        },
        "cvss3_vector": {
            "access_complexity": "Low",
            "access_vector": "Local",
            "availability_impact": "High",
            "confidentiality_impact": "High",
            "integrity_impact": "High",
            "raw": "AV:L/AC:L/PR:L/UI:N/S:U/C:H/I:H/A:H"
        },
        "cvss_base_score": 6.3,
        "cvss_temporal_score": 4.9,
        "cvss_temporal_vector": {
            "exploitability": "Proof-of-Concept",
            "remediation_level": "Official Fix",
            "report_confidence": "Confirmed",
            "raw": "E:POC/RL:OF/RC:C"
        },
        "cvss_vector": {
            "access_complexity": "Medium",
            "access_vector": "Network",
            "authentication": "Single",
            "availability_impact": "None",
            "confidentiality_impact": "Complete",
            "integrity_impact": "None",
            "raw": "AV:N/AC:M/Au:S/C:C/I:N/A:N"
        },
        "description": "The remote Oracle Linux 8 / 9 host has packages installed that are affected by multiple vulnerabilities as referenced in the ELSA-2026-50113 advisory.\n\n    - sunrpc: fix client side handling of tls alerts (Olga Kornievskaia)  [Orabug: 38334981]  {CVE-2025-38571}\n    - sunrpc: fix handling of server side tls alerts (Olga Kornievskaia)  [Orabug: 38334968]  {CVE-2025-38566}\n    - xfrm: delete x-&gt;tunnel as we delete x (Sabrina Dubroca)  [Orabug: 38730492]  {CVE-2025-40215}\n    - net/sched: sch_cake: Fix incorrect qlen reduction in cake_drop (Xiang Mei) [Orabug: 38783137]     {CVE-2025-68325}\n    - fuse: fix readahead reclaim deadlock (Joanne Koong) [Orabug: 38847946] {CVE-2025-68821}\n    - PCI/AER: Avoid NULL pointer dereference in aer_ratelimit() (Breno Leitao) [Orabug: 38597010]     {CVE-2025-40034}\n    - mlx5: Fix default values in create CQ (Akiva Goldberger) [Orabug: 38420735,38773370] {CVE-2025-68209}\n    - scsi: megaraid_sas: Fix invalid node index (Chen Yu) [Orabug: 38175026] {CVE-2025-38239}\n    - RDMA/mlx5: Fix a WARN during dereg_mr for DM type (Yishai Hadas) [Orabug: 37766291,38463999]     {CVE-2025-21888}\n    - scsi: pm80xx: Set phy-&gt;enable_completion only when we (Igor Pylypiv) [Orabug: 37159744] {CVE-2024-47666}\n    - usb: renesas_usbhs: Fix synchronous external abort on unbind (Claudiu Beznea) [Orabug: 38792571]     {CVE-2025-68327}\n    - smb: client: fix memory leak in cifs_construct_tcon() (Paulo Alcantara) [Orabug: 38773704]     {CVE-2025-68295}\n    - mptcp: Fix proto fallback detection with BPF (Jiayuan Chen) [Orabug: 38773435] {CVE-2025-68227}\n    - libceph: prevent potential out-of-bounds writes in handle_auth_session_key() (Ziming Zhang) [Orabug:\n    38773649] {CVE-2025-68284}\n    - libceph: fix potential use-after-free in have_mon_and_osd_map() (Ilya Dryomov) [Orabug: 38773655]     {CVE-2025-68285}\n    - drm/amd/display: Check NULL before accessing (Alex Hung) [Orabug: 38773664] {CVE-2025-68286}\n    - usb: dwc3: Fix race condition between concurrent dwc3_remove_requests() call paths (Manish Nagar)     [Orabug: 38773671] {CVE-2025-68287}\n    - usb: uas: fix urb unmapping issue when the uas device is remove during ongoing data transfer (Owen Gu)     [Orabug: 38792593] {CVE-2025-68331}\n    - usb: storage: sddr55: Reject out-of-bound new_pba (Tianchu Chen) [Orabug: 38762730] {CVE-2025-40345}\n    - usb: storage: Fix memory leak in USB bulk transport (Desnes Nunes) [Orabug: 38773677]     {CVE-2018-1000204,CVE-2025-68288}\n    - usb: gadget: f_eem: Fix memory leak in eem_unwrap (Kuen-Han Tsai) [Orabug: 38773687] {CVE-2025-68289}\n    - iio: accel: bmc150: Fix irq assumption regression (Linus Walleij) [Orabug: 38792587] {CVE-2025-68330}\n    - net: atlantic: fix fragment overflow handling in RX path (Jiefeng Zhang) [Orabug: 38773729]     {CVE-2025-68301}\n    - can: kvaser_usb: leaf: Fix potential infinite loop in command parsers (Seungjin Bae) [Orabug: 38773760]     {CVE-2025-68308}\n    - mptcp: fix a race in mptcp_pm_del_add_timer() (Eric Dumazet) [Orabug: 38730656] {CVE-2025-40257}\n    - net: netpoll: fix incorrect refcount handling causing incorrect cleanup (Breno Leitao) [Orabug:\n    38773509] {CVE-2025-68245}\n    - btrfs: fix crash on racing fsync and size-extending write into prealloc (Omar Sandoval) [Orabug:\n    36774582] {CVE-2024-37354}\n    - mm/secretmem: fix use-after-free race in fault handler (Lance Yang) [Orabug: 38737039] {CVE-2025-40272}\n    - vsock: Ignore signal/timeout on connect() if already established (Michal Luczaj) [Orabug:\n    38730611,38786193,38788594] {CVE-2025-40248}\n    - net: qlogic/qede: fix potential out-of-bounds read in qede_tpa_cont() and qede_tpa_end() (Pavel     Zhigulin) [Orabug: 38730629] {CVE-2025-40252}\n    - net: openvswitch: remove never-working support for setting nsh fields (Ilya Maximets) [Orabug: 38730648]     {CVE-2025-40254}\n    - mptcp: fix race condition in mptcp_schedule_work() (Eric Dumazet) [Orabug: 38730659] {CVE-2025-40258}\n    - scsi: target: tcm_loop: Fix segfault in tcm_loop_tpg_address_show() (Hamza Mahfooz) [Orabug: 38773440]     {CVE-2025-68229}\n    - scsi: sg: Do not sleep in atomic context (Bart Van Assche) [Orabug: 38730663] {CVE-2025-40259}\n    - nvme: nvme-fc: Ensure -&gt;ioerr_work is cancelled in nvme_fc_delete_ctrl() (Ewan D. Milne) [Orabug:\n    38730673] {CVE-2025-40261}\n    - Input: cros_ec_keyb - fix an invalid memory access (Tzung-Bi Shih) [Orabug: 38730680] {CVE-2025-40263}\n    - be2net: pass wrb_params in case of OS2BMC (Andrey Vatoropin) [Orabug: 38730689] {CVE-2025-40264}\n    - isdn: mISDN: hfcsusb: fix memory leak in hfcsusb_probe() (Abdun Nihaal) [Orabug: 38798907]     {CVE-2025-68734}\n    - ALSA: usb-audio: Fix potential overflow of PCM transfer buffer (Takashi Iwai) [Orabug: 38737023]     {CVE-2025-40269}\n    - fs/proc: fix uaf in proc_readdir_de() (Wei Yang) [Orabug: 38737033,38786194,38788587] {CVE-2025-40271}\n    - ipv4: route: Prevent rt_bind_exception() from rebinding stale fnhe (Chuang Wang) [Orabug: 38773495]     {CVE-2025-68241}\n    - NFSD: free copynotify stateid in nfs4_free_ol_stateid() (Olga Kornievskaia) [Orabug: 38737042]     {CVE-2025-40273}\n    - mm/ksm: fix flag-dropping behavior in ksm_madvise (Jakub Acs) [Orabug: 38592026] {CVE-2025-40040}\n    - bpf: Add bpf_prog_run_data_pointers() (Eric Dumazet) [Orabug: 38773327] {CVE-2025-68200}\n    - ALSA: usb-audio: Fix NULL pointer dereference in snd_usb_mixer_controls_badd (Haein Lee) [Orabug:\n    38737051] {CVE-2025-40275}\n    - drm/vmwgfx: Validate command header size against SVGA_CMD_MAX_DATASIZE (Ian Forbes) [Orabug: 38737060]     {CVE-2025-40277}\n    - net: sched: act_connmark: initialize struct tc_ife to fix kernel leak (Ranganath V N) [Orabug: 38737072]     {CVE-2025-40279}\n    - tipc: Fix use-after-free in tipc_mon_reinit_self(). (Kuniyuki Iwashima) [Orabug:\n    38737082,38786195,38788585] {CVE-2025-40280}\n    - sctp: prevent possible shift-out-of-bounds in sctp_transport_update_rto (Eric Dumazet) [Orabug:\n    38737090] {CVE-2025-40281}\n    - Bluetooth: btusb: reorder cleanup in btusb_disconnect to avoid UAF (Raphael Pinsonneault-Thibeault)     [Orabug: 38737103] {CVE-2025-40283}\n    - drm/i915: Avoid lock inversion when pinning to GGTT on CHV/BXT+VTD (Janusz Krzysztofik) [Orabug:\n    38773506] {CVE-2025-68244}\n    - net: usb: qmi_wwan: initialize MAC header offset in qmimux_rx_fixup (Qendrim Maxhuni) [Orabug: 38773282]     {CVE-2025-68192}\n    - sctp: Prevent TOCTOU out-of-bounds write (Stefan Wiehler) [Orabug: 38747446] {CVE-2025-40331}\n    - fbdev: Add bounds checking in bit_putcs to fix vmalloc-out-of-bounds (Albin Babu Varghese) [Orabug:\n    38737181] {CVE-2025-40304}\n    - Bluetooth: bcsp: receive data only if registered (Ivan Pravdin) [Orabug: 38737212] {CVE-2025-40308}\n    - Bluetooth: SCO: Fix UAF on sco_conn_free (Luiz Augusto von Dentz) [Orabug: 38737223] {CVE-2025-40309}\n    - fs: ext4: change GFP_KERNEL to GFP_NOFS to avoid deadlock (Chuguangqing) [Orabug: 38773127]     {CVE-2025-40361}\n    - nfs4_setup_readdir(): insufficient locking for -&gt;d_parent-&gt;d_inode dereferencing (Al Viro) [Orabug:\n    38773244] {CVE-2025-68185}\n    - page_pool: always add GFP_NOWARN for ATOMIC allocations (Jakub Kicinski) [Orabug: 38773835]     {CVE-2025-68321}\n    - udp_tunnel: use netdev_warn() instead of netdev_WARN() (Alok Tiwari) [Orabug: 38773275] {CVE-2025-68191}\n    - media: imon: make send_packet() more robust (Tetsuo Handa) [Orabug: 38773297] {CVE-2025-68194}\n    - net: ipv6: fix field-spanning memcpy warning in AH output (Charalampos Mitrodimas) [Orabug: 38773140]     {CVE-2025-40363}\n    - nvme-fc: use lock accessing port_state and rport state (Daniel Wagner) [Orabug: 38747531]     {CVE-2025-40342}\n    - nvmet-fc: avoid scheduling association deletion twice (Daniel Wagner) [Orabug: 38747538]     {CVE-2025-40343}\n    - drm/sysfb: Do not dereference NULL pointer in plane reset (Thomas Zimmermann) [Orabug: 38773123]     {CVE-2025-40360}\n    - usbnet: Prevents free active kevent (Lizhi Xu) [Orabug: 38773783] {CVE-2025-68312}\n    - bpf: Sync pending IRQ work before freeing ring buffer (Noorain Eqbal) [Orabug: 38737284]     {CVE-2025-40319}\n    - wifi: brcmfmac: fix crash while sending Action Frames in standalone AP Mode (Gokul Sivakumar) [Orabug:\n    38737291] {CVE-2025-40321}\n    - fbdev: bitblit: bound-check glyph index in bit_putcs* (Junjie Cao) [Orabug: 38737300] {CVE-2025-40322}\n    - ACPI: video: Fix use-after-free in acpi_video_switch_brightness() (Yuhao Jiang) [Orabug: 38687004]     {CVE-2025-40211}\n    - NFSD: Fix crash in nfsd4_read_release() (Chuck Lever) [Orabug: 38737315] {CVE-2025-40324}\n    - net/sched: sch_qfq: Fix null-deref in agg_dequeue (Xiang Mei) [Orabug: 38597084] {CVE-2025-40083}\n    - mm/hugetlb: add option to allows disabling CVE-2025-38085 mitigation (Joe Jin) [Orabug: 38728358]     {CVE-2025-38085}\n    - netfilter: nf_tables: reject duplicate device on updates (Pablo Neira Ayuso) [Orabug: 38389767,38744086]     {CVE-2025-38678}\n    - net/mlx5: Clean up only new IRQ glue on request_irq() failure (Pradyumn Rahar) [Orabug:\n    37961220,38730620] {CVE-2025-40250}\n    - bnxt_en: Fix memory corruption when FW resources change during ifdown (Sreekanth Reddy) [Orabug:\n    38440240] {CVE-2025-39810}\n\nVulnerability Scanner has extracted the preceding description block directly from the Oracle Linux security advisory.\n\nNote that Nessus has not tested for these issues but has instead relied only on the application's self-reported version number.",
        "exploit_available": true,
        "exploit_framework_canvas": false,
        "exploit_framework_core": false,
        "exploit_framework_d2_elliot": false,
        "exploit_framework_exploithub": false,
        "exploit_framework_metasploit": false,
        "exploitability_ease": "Exploits are available",
        "exploited_by_malware": false,
        "exploited_by_nessus": false,
        "family": "Oracle Linux Local Security Checks",
        "family_id": 53,
        "has_patch": true,
        "id": 299303,
        "in_the_news": false,
        "name": "Oracle Linux 8 / 9 : Unbreakable Enterprise kernel (ELSA-2026-50113)",
        "patch_publication_date": "2026-02-15T00:00:00Z",
        "modification_date": "2026-02-17T00:00:00Z",
        "publication_date": "2026-02-17T00:00:00Z",
        "risk_factor": "medium",
        "see_also": [
            "https://linux.oracle.com/errata/ELSA-2026-50113.html"
        ],
        "solution": "Update the affected packages.",
        "synopsis": "The remote Oracle Linux host is missing one or more security updates.",
        "unsupported_by_vendor": false,
        "version": "1.2",
        "vuln_publication_date": "2018-06-08T00:00:00Z",
        "xrefs": [
            {
                "type": "CVE",
                "id": "2025-68821"
            }
        ],
        "vpr": {
            "score": 6.7,
            "drivers": {
                "age_of_vuln": {
                    "lower_bound": 61,
                    "upper_bound": 180
                },
                "exploit_code_maturity": "UNPROVEN",
                "cvss_impact_score_predicted": false,
                "cvss3_impact_score": 5.9,
                "threat_intensity_last28": "VERY_LOW",
                "threat_sources_last28": [
                    "No recorded events"
                ],
                "product_coverage": "LOW"
            },
            "updated": "2026-02-03T06:05:05Z"
        },
        "vpr_v2": {
            "score": 7.6,
            "vpr_percentile": 98.57,
            "vpr_severity": "HIGH",
            "exploit_probability": 0.01,
            "cve_id": "CVE-2025-68301",
            "exploit_code_maturity": "UNPROVEN",
            "on_cisa_kev": false,
            "in_the_news_intensity_last30": "VERY_LOW",
            "in_the_news_recency": "NO_RECORDED_EVENTS",
            "malware_observations_intensity_last30": "VERY_LOW",
            "malware_observations_recency": "NO_RECORDED_EVENTS"
        },
        "has_workaround": false,
        "cve": [
            "CVE-2018-1000204",
            "CVE-2024-37354",
            "CVE-2024-47666",{
    "id": "00000000-0000-0000-0000-000000000001",
    "has_agent": true,
    "has_plugin_results": true,
    "created_at": "2026-02-24T11:12:41.507Z",
    "terminated_at": null,
    "terminated_by": null,
    "updated_at": "2026-03-13T13:11:18.427Z",
    "deleted_at": null,
    "deleted_by": null,
    "first_seen": "2026-02-24T11:12:41.507Z",
    "last_seen": "2026-03-13T01:55:16.437Z",
    "first_scan_time": "2026-02-24T11:12:41.507Z",
    "last_scan_time": "2026-03-13T01:55:16.437Z",
    "last_authenticated_scan_date": "2026-03-13T01:53:42.507Z",
    "last_licensed_scan_date": "2026-03-13T01:53:42.507Z",
    "last_scan_id": "1b6fc021-bbab-4a35-9631-9277d988065d",
    "last_schedule_id": "8dd4c916-a1f1-80ba-82fa-f9e870a24e3a86cd63430d35ad17",
    "azure_vm_id": null,
    "azure_resource_id": null,
    "gcp_project_id": null,
    "gcp_zone": null,
    "gcp_instance_id": null,
    "aws_ec2_instance_ami_id": null,
    "aws_ec2_instance_id": null,
    "agent_uuid": "aaaaaaaaaaaaaaaaaaaaaaaaaaaaaaa1",
    "bios_uuid": "00000000-0000-0000-0000-0000000000b1",
    "network_id": "00000000-0000-0000-0000-000000000000",
    "network_name": "Default",
    "aws_owner_id": null,
    "aws_availability_zone": null,
    "aws_region": null,
    "aws_vpc_id": null,
    "aws_ec2_instance_group_name": null,
    "aws_ec2_instance_state_name": null,
    "aws_ec2_instance_type": null,
    "aws_subnet_id": null,
    "aws_ec2_product_code": null,
    "aws_ec2_name": null,
    "mcafee_epo_guid": null,
    "mcafee_epo_agent_guid": null,
    "servicenow_sysid": null,
    "bigfix_asset_id": null,
    "agent_names": [
        "host-example-03"
    ],
    "installed_software": [
        "cpe:/a:docker:docker:29.2.1",
        "cpe:/a:exiv2:exiv2:0.28.3",
        "cpe:/a:exiv2:libexiv2:0.28.3",
        "cpe:/a:gnome:gnome-shell:47.8",
        "cpe:/a:gnupg:libgcrypt:1.11.0",
        "cpe:/a:haxx:curl:8.12.1",
        "cpe:/a:haxx:libcurl:8.12.1",
        "cpe:/a:linuxfoundation:containerd:2.2.1",
        "cpe:/a:nodejs:node.js:22.22.0",
        "cpe:/a:openssl:openssl:3.0.19",
        "cpe:/a:openssl:openssl:3.5.1",
        "cpe:/a:podman_project:podman:5.6.0",
        "cpe:/a:tenable:nessus_agent:11.1.2",
        "cpe:/a:tukaani:xz:5.6.2",
        "cpe:/a:vim:vim:9.1",
        "cpe:/a:vmware:open_vm_tools:13.0.0",
        "cpe:/a:crowdstrike:falcon_sensor:7.34.0"
    ],
    "ipv4s": [
        "10.0.0.1",
        "192.0.2.22",
        "10.0.0.2"
    ],
    "ipv6s": [],
    "fqdns": [],
    "mac_addresses": [
        "00:00:5E:00:53:01"
    ],
    "netbios_names": [],
    "operating_systems": [
        "Oracle Linux Server 10.1"
    ],
    "system_types": [
        "general-purpose"
    ],
    "hostnames": [
        "host-example-03"
    ],
    "ssh_fingerprints": [],
    "qualys_asset_ids": [],
    "qualys_host_ids": [],
    "manufacturer_tpm_ids": [],
    "symantec_ep_hardware_keys": [],
    "sources": [
        {
            "name": "NESSUS_AGENT",
            "first_seen": "2026-02-24T11:12:41.507Z",
            "last_seen": "2026-03-13T01:55:16.437Z"
        }
    ],
    "tags": [
        {
            "uuid": "96fa4d54-09c5-49c9-96c0-556f73f2157a",
            "key": "SYSTEM",
            "value": "Unix Server (Group TI)",
            "added_by": null,
            "added_at": "2026-03-02T12:04:58.318Z"
        },
        {
            "uuid": "e0ea05fc-f74c-49cb-b8af-63f7e2db1b60",
            "key": "GROUP",
            "value": "TI",
            "added_by": null,
            "added_at": "2026-03-02T12:03:15.398Z"
        },
        {
            "uuid": "5777ad85-e043-4a68-99e4-b394ba06c4ba",
            "key": "SETOR",
            "value": "TI",
            "added_by": "73d94f7f-d18a-4ce3-a110-f886e6bf0bb5",
            "added_at": "2026-03-02T12:02:27.700Z"
        },
        {
            "uuid": "9aa5d514-ae05-4a8c-a962-a0b5f4a88e0f",
            "key": "SYSTEM",
            "value": "Unix Server",
            "added_by": null,
            "added_at": "2026-02-24T11:50:02.999Z"
        }
    ],
    "network_interfaces": [
        {
            "name": "br-80cab7bfe5d0",
            "virtual": null,
            "aliased": null,
            "fqdns": [],
            "mac_addresses": [
                "00:00:5E:00:53:01"
            ],
            "ipv4s": [
                "10.0.0.1"
            ],
            "ipv6s": []
        },
        {
            "name": "docker0",
            "virtual": null,
            "aliased": null,
            "fqdns": [],
            "mac_addresses": [
                "00:00:5E:00:53:02"
            ],
            "ipv4s": [],
            "ipv6s": []
        },
        {
            "name": "ens32",
            "virtual": null,
            "aliased": null,
            "fqdns": [],
            "mac_addresses": [
                "00:00:5E:00:53:03"
            ],
            "ipv4s": [
                "192.0.2.22"
            ],
            "ipv6s": []
        },
        {
            "name": "br-1c2c3c180096",
            "virtual": null,
            "aliased": null,
            "fqdns": [],
            "mac_addresses": [
                "00:00:5E:00:53:04"
            ],
            "ipv4s": [
                "10.0.0.2"
            ],
            "ipv6s": []
        },
        {
            "name": "UNKNOWN",
            "virtual": null,
            "aliased": null,
            "fqdns": [],
            "mac_addresses": [
                "00:00:5E:00:53:05"
            ],
            "ipv4s": [],
            "ipv6s": []
        },
        {
            "name": "UNKNOWN",
            "virtual": null,
            "aliased": null,
            "fqdns": [],
            "mac_addresses": [
                "00:00:5E:00:53:03"
            ],
            "ipv4s": [],
            "ipv6s": []
        },
        {
            "name": "UNKNOWN",
            "virtual": null,
            "aliased": null,
            "fqdns": [],
            "mac_addresses": [
                "00:00:5E:00:53:06"
            ],
            "ipv4s": [],
            "ipv6s": []
        },
        {
            "name": "UNKNOWN",
            "virtual": null,
            "aliased": null,
            "fqdns": [],
            "mac_addresses": [
                "00:00:5E:00:53:07"
            ],
            "ipv4s": [],
            "ipv6s": []
        },
        {
            "name": "UNKNOWN",
            "virtual": null,
            "aliased": null,
            "fqdns": [],
            "mac_addresses": [
                "00:00:5E:00:53:08"
            ],
            "ipv4s": [],
            "ipv6s": []
        },
        {
            "name": "UNKNOWN",
            "virtual": null,
            "aliased": null,
            "fqdns": [],
            "mac_addresses": [
                "00:00:5E:00:53:02"
            ],
            "ipv4s": [],
            "ipv6s": []
        },
        {
            "name": "UNKNOWN",
            "virtual": null,
            "aliased": null,
            "fqdns": [],
            "mac_addresses": [
                "00:00:5E:00:53:09"
            ],
            "ipv4s": [],
            "ipv6s": []
        },
        {
            "name": "UNKNOWN",
            "virtual": null,
            "aliased": null,
            "fqdns": [],
            "mac_addresses": [
                "00:00:5E:00:53:01"
            ],
            "ipv4s": [],
            "ipv6s": []
        }
    ],
    "open_ports": [],
    "last_authentication_scan_status": "N/A",
    "serial_number": null,
    "acr_score": "5.0",
    "exposure_score": "688.0",
    "ratings": {
        "acr": {
            "score": 5.0
        },
        "aes": {
            "score": 688.0
        }
    }
}{
    "id": "00000000-0000-0000-0000-000000000001",
    "has_agent": true,
    "has_plugin_results": true,
    "created_at": "2026-02-24T11:12:41.507Z",
    "terminated_at": null,
    "terminated_by": null,
    "updated_at": "2026-03-13T13:11:18.427Z",
    "deleted_at": null,
    "deleted_by": null,
    "first_seen": "2026-02-24T11:12:41.507Z",
    "last_seen": "2026-03-13T01:55:16.437Z",
    "first_scan_time": "2026-02-24T11:12:41.507Z",
    "last_scan_time": "2026-03-13T01:55:16.437Z",
    "last_authenticated_scan_date": "2026-03-13T01:53:42.507Z",
    "last_licensed_scan_date": "2026-03-13T01:53:42.507Z",
    "last_scan_id": "1b6fc021-bbab-4a35-9631-9277d988065d",
    "last_schedule_id": "8dd4c916-a1f1-80ba-82fa-f9e870a24e3a86cd63430d35ad17",
    "azure_vm_id": null,
    "azure_resource_id": null,
    "gcp_project_id": null,
    "gcp_zone": null,
    "gcp_instance_id": null,
    "aws_ec2_instance_ami_id": null,
    "aws_ec2_instance_id": null,
    "agent_uuid": "aaaaaaaaaaaaaaaaaaaaaaaaaaaaaaa1",
    "bios_uuid": "00000000-0000-0000-0000-0000000000b1",
    "network_id": "00000000-0000-0000-0000-000000000000",
    "network_name": "Default",
    "aws_owner_id": null,
    "aws_availability_zone": null,
    "aws_region": null,
    "aws_vpc_id": null,
    "aws_ec2_instance_group_name": null,
    "aws_ec2_instance_state_name": null,
    "aws_ec2_instance_type": null,
    "aws_subnet_id": null,
    "aws_ec2_product_code": null,
    "aws_ec2_name": null,
    "mcafee_epo_guid": null,
    "mcafee_epo_agent_guid": null,
    "servicenow_sysid": null,
    "bigfix_asset_id": null,
    "agent_names": [
        "host-example-03"
    ],
    "installed_software": [
        "cpe:/a:docker:docker:29.2.1",
        "cpe:/a:exiv2:exiv2:0.28.3",
        "cpe:/a:exiv2:libexiv2:0.28.3",
        "cpe:/a:gnome:gnome-shell:47.8",
        "cpe:/a:gnupg:libgcrypt:1.11.0",
        "cpe:/a:haxx:curl:8.12.1",
        "cpe:/a:haxx:libcurl:8.12.1",
        "cpe:/a:linuxfoundation:containerd:2.2.1",
        "cpe:/a:nodejs:node.js:22.22.0",
        "cpe:/a:openssl:openssl:3.0.19",
        "cpe:/a:openssl:openssl:3.5.1",
        "cpe:/a:podman_project:podman:5.6.0",
        "cpe:/a:tenable:nessus_agent:11.1.2",
        "cpe:/a:tukaani:xz:5.6.2",
        "cpe:/a:vim:vim:9.1",
        "cpe:/a:vmware:open_vm_tools:13.0.0",
        "cpe:/a:crowdstrike:falcon_sensor:7.34.0"
    ],
    "ipv4s": [
        "10.0.0.1",
        "192.0.2.22",
        "10.0.0.2"
    ],
    "ipv6s": [],
    "fqdns": [],
    "mac_addresses": [
        "00:00:5E:00:53:01"
    ],
    "netbios_names": [],
    "operating_systems": [
        "Oracle Linux Server 10.1"
    ],
    "system_types": [
        "general-purpose"
    ],
    "hostnames": [
        "host-example-03"
    ],
    "ssh_fingerprints": [],
    "qualys_asset_ids": [],
    "qualys_host_ids": [],
    "manufacturer_tpm_ids": [],
    "symantec_ep_hardware_keys": [],
    "sources": [
        {
            "name": "NESSUS_AGENT",
            "first_seen": "2026-02-24T11:12:41.507Z",
            "last_seen": "2026-03-13T01:55:16.437Z"
        }
    ],
    "tags": [
        {
            "uuid": "96fa4d54-09c5-49c9-96c0-556f73f2157a",
            "key": "SYSTEM",
            "value": "Unix Server (Group TI)",
            "added_by": null,
            "added_at": "2026-03-02T12:04:58.318Z"
        },
        {
            "uuid": "e0ea05fc-f74c-49cb-b8af-63f7e2db1b60",
            "key": "GROUP",
            "value": "TI",
            "added_by": null,
            "added_at": "2026-03-02T12:03:15.398Z"
        },
        {
            "uuid": "5777ad85-e043-4a68-99e4-b394ba06c4ba",
            "key": "SETOR",
            "value": "TI",
            "added_by": "73d94f7f-d18a-4ce3-a110-f886e6bf0bb5",
            "added_at": "2026-03-02T12:02:27.700Z"
        },
        {
            "uuid": "9aa5d514-ae05-4a8c-a962-a0b5f4a88e0f",
            "key": "SYSTEM",
            "value": "Unix Server",
            "added_by": null,
            "added_at": "2026-02-24T11:50:02.999Z"
        }
    ],
    "network_interfaces": [
        {
            "name": "br-80cab7bfe5d0",
            "virtual": null,
            "aliased": null,
            "fqdns": [],
            "mac_addresses": [
                "00:00:5E:00:53:01"
            ],
            "ipv4s": [
                "10.0.0.1"
            ],
            "ipv6s": []
        },
        {
            "name": "docker0",
            "virtual": null,
            "aliased": null,
            "fqdns": [],
            "mac_addresses": [
                "00:00:5E:00:53:02"
            ],
            "ipv4s": [],
            "ipv6s": []
        },
        {
            "name": "ens32",
            "virtual": null,
            "aliased": null,
            "fqdns": [],
            "mac_addresses": [
                "00:00:5E:00:53:03"
            ],
            "ipv4s": [
                "192.0.2.22"
            ],
            "ipv6s": []
        },
        {
            "name": "br-1c2c3c180096",
            "virtual": null,
            "aliased": null,
            "fqdns": [],
            "mac_addresses": [
                "00:00:5E:00:53:04"
            ],
            "ipv4s": [
                "10.0.0.2"
            ],
            "ipv6s": []
        },
        {
            "name": "UNKNOWN",
            "virtual": null,
            "aliased": null,
            "fqdns": [],
            "mac_addresses": [
                "00:00:5E:00:53:05"
            ],
            "ipv4s": [],
            "ipv6s": []
        },
        {
            "name": "UNKNOWN",
            "virtual": null,
            "aliased": null,
            "fqdns": [],
            "mac_addresses": [
                "00:00:5E:00:53:03"
            ],
            "ipv4s": [],
            "ipv6s": []
        },
        {
            "name": "UNKNOWN",
            "virtual": null,
            "aliased": null,
            "fqdns": [],
            "mac_addresses": [
                "00:00:5E:00:53:06"
            ],
            "ipv4s": [],
            "ipv6s": []
        },
        {
            "name": "UNKNOWN",
            "virtual": null,
            "aliased": null,
            "fqdns": [],
            "mac_addresses": [
                "00:00:5E:00:53:07"
            ],
            "ipv4s": [],
            "ipv6s": []
        },
        {
            "name": "UNKNOWN",
            "virtual": null,
            "aliased": null,
            "fqdns": [],
            "mac_addresses": [
                "00:00:5E:00:53:08"
            ],
            "ipv4s": [],
            "ipv6s": []
        },
        {
            "name": "UNKNOWN",
            "virtual": null,
            "aliased": null,
            "fqdns": [],
            "mac_addresses": [
                "00:00:5E:00:53:02"
            ],
            "ipv4s": [],
            "ipv6s": []
        },
        {
            "name": "UNKNOWN",
            "virtual": null,
            "aliased": null,
            "fqdns": [],
            "mac_addresses": [
                "00:00:5E:00:53:09"
            ],
            "ipv4s": [],
            "ipv6s": []
        },
        {
            "name": "UNKNOWN",
            "virtual": null,
            "aliased": null,
            "fqdns": [],
            "mac_addresses": [
                "00:00:5E:00:53:01"
            ],
            "ipv4s": [],
            "ipv6s": []
        }
    ],
    "open_ports": [],
    "last_authentication_scan_status": "N/A",
    "serial_number": null,
    "acr_score": "5.0",
    "exposure_score": "688.0",
    "ratings": {
        "acr": {
            "score": 5.0
        },
        "aes": {
            "score": 688.0
        }
    }
}
            "CVE-2025-68734",
            "CVE-2025-68821"
        ],
        "epss_score": 0.171,
        "type": "local"
    },
    "port": {
        "port": 0,
        "protocol": "TCP"
    },
    "scan": {
        "schedule_uuid": "8dd4c916-a1f1-80ba-82fa-f9e870a24e3a86cd63430d35ad17",
        "started_at": "2026-03-13T01:01:38.929Z",
        "uuid": "1b6fc021-bbab-4a35-9631-9277d988065d",
        "target": "127.0.0.1"
    },
    "severity": "high",
    "severity_id": 3,
    "severity_default_id": 2,
    "severity_modification_type": "NONE",
    "first_found": "2026-02-24T01:50:15.247Z",
    "last_found": "2026-03-13T02:02:32.988Z",
    "last_fixed": "2026-03-13T02:02:32.988Z",
   "state": "OPEN",
    "indexed": "2026-03-13T02:04:26.409923Z",
    "source": "AGENT",
    "finding_id": "003327a6-2fa9-546e-ae75-2ae1b1dde73a"
}</t>
  </si>
  <si>
    <r>
      <t xml:space="preserve">Tag Synchronization — Virtualization Platform &amp; Vulnerability Scanner:
</t>
    </r>
    <r>
      <rPr>
        <i/>
        <sz val="16"/>
        <color theme="0"/>
        <rFont val="Aptos Narrow"/>
        <family val="2"/>
        <scheme val="minor"/>
      </rPr>
      <t>Compare the Virtualization Platform assets, collect the correct department, and update the Vulnerability Scanner inventory via API.</t>
    </r>
  </si>
  <si>
    <r>
      <t xml:space="preserve">Unwatched Assets Cleanup — Virtualization Platform &amp; Vulnerability Scanner:
</t>
    </r>
    <r>
      <rPr>
        <i/>
        <sz val="16"/>
        <color theme="0"/>
        <rFont val="Aptos Narrow"/>
        <family val="2"/>
        <scheme val="minor"/>
      </rPr>
      <t>Clean up assets with no MAC match in the Virtualization Platform that are recorded, flagging hosts monitored by the Vulnerability Scanner that have no link to any VM registered in the Virtualization Platform</t>
    </r>
    <r>
      <rPr>
        <b/>
        <sz val="16"/>
        <color theme="0"/>
        <rFont val="Aptos Narrow"/>
        <family val="2"/>
        <scheme val="minor"/>
      </rPr>
      <t>.</t>
    </r>
  </si>
  <si>
    <r>
      <t xml:space="preserve">Removal of Unused Exceptions — USB Devices:
</t>
    </r>
    <r>
      <rPr>
        <i/>
        <sz val="16"/>
        <color theme="0"/>
        <rFont val="Aptos Narrow"/>
        <family val="2"/>
        <scheme val="minor"/>
      </rPr>
      <t>Remove the allowance applied to removable devices that have been inactive for more than 3 months.</t>
    </r>
  </si>
  <si>
    <r>
      <rPr>
        <b/>
        <sz val="14"/>
        <color rgb="FF000000"/>
        <rFont val="Aptos Narrow"/>
        <family val="2"/>
        <scheme val="minor"/>
      </rPr>
      <t>Vulnerability Management (Assets):</t>
    </r>
    <r>
      <rPr>
        <sz val="14"/>
        <color rgb="FF000000"/>
        <rFont val="Aptos Narrow"/>
        <family val="2"/>
        <scheme val="minor"/>
      </rPr>
      <t xml:space="preserve">
CYBER/ExampleCorp/Silver/GVulnerabilities/YYYY-MM-DD/Assets.json</t>
    </r>
  </si>
  <si>
    <r>
      <rPr>
        <b/>
        <sz val="14"/>
        <color rgb="FF000000"/>
        <rFont val="Aptos Narrow"/>
        <family val="2"/>
        <scheme val="minor"/>
      </rPr>
      <t>Vulnerability Management (Assets):</t>
    </r>
    <r>
      <rPr>
        <sz val="14"/>
        <color rgb="FF000000"/>
        <rFont val="Aptos Narrow"/>
        <family val="2"/>
        <scheme val="minor"/>
      </rPr>
      <t xml:space="preserve">
CYBER/ExampleCorp/Silver/GVulnerabilities/YYYY-MM-DD/UnwatchedAssets.json</t>
    </r>
  </si>
  <si>
    <r>
      <t xml:space="preserve">UnwatchedAssets.json:
</t>
    </r>
    <r>
      <rPr>
        <sz val="14"/>
        <color rgb="FF000000"/>
        <rFont val="Aptos Narrow"/>
        <family val="2"/>
        <scheme val="minor"/>
      </rPr>
      <t>Get only assets whose Last Seen column is older than 10 days.</t>
    </r>
  </si>
  <si>
    <r>
      <rPr>
        <b/>
        <sz val="14"/>
        <color rgb="FF000000"/>
        <rFont val="Aptos Narrow"/>
        <family val="2"/>
        <scheme val="minor"/>
      </rPr>
      <t>Virtualization Platform (Assets):</t>
    </r>
    <r>
      <rPr>
        <sz val="14"/>
        <color rgb="FF000000"/>
        <rFont val="Aptos Narrow"/>
        <family val="2"/>
        <scheme val="minor"/>
      </rPr>
      <t xml:space="preserve"> CYBER/ExampleCorp/Raw/VIRTUALIZATION/YYYY-MM-DD/Assets/Assets.json
</t>
    </r>
    <r>
      <rPr>
        <b/>
        <sz val="14"/>
        <color rgb="FF000000"/>
        <rFont val="Aptos Narrow"/>
        <family val="2"/>
        <scheme val="minor"/>
      </rPr>
      <t>Vulnerability Scanner (Assets):</t>
    </r>
    <r>
      <rPr>
        <sz val="14"/>
        <color rgb="FF000000"/>
        <rFont val="Aptos Narrow"/>
        <family val="2"/>
        <scheme val="minor"/>
      </rPr>
      <t xml:space="preserve">
CYBER/ExampleCorp/Raw/VULN_SCANNER/YYYY-MM-DD/Assets/Assets.json</t>
    </r>
  </si>
  <si>
    <r>
      <rPr>
        <b/>
        <sz val="14"/>
        <color rgb="FF000000"/>
        <rFont val="Aptos Narrow"/>
        <family val="2"/>
        <scheme val="minor"/>
      </rPr>
      <t>Vulnerability Scanner (Active Vulns):</t>
    </r>
    <r>
      <rPr>
        <sz val="14"/>
        <color rgb="FF000000"/>
        <rFont val="Aptos Narrow"/>
        <family val="2"/>
        <scheme val="minor"/>
      </rPr>
      <t xml:space="preserve">
CYBER/ExampleCorp/Raw/VULN_SCANNER/YYYY-MM-DD/Vulns/ActiveVulns.json</t>
    </r>
  </si>
  <si>
    <r>
      <rPr>
        <b/>
        <sz val="14"/>
        <color rgb="FF000000"/>
        <rFont val="Aptos Narrow"/>
        <family val="2"/>
        <scheme val="minor"/>
      </rPr>
      <t>Vulnerability Scanner (Fixed Vulns):</t>
    </r>
    <r>
      <rPr>
        <sz val="14"/>
        <color rgb="FF000000"/>
        <rFont val="Aptos Narrow"/>
        <family val="2"/>
        <scheme val="minor"/>
      </rPr>
      <t xml:space="preserve">
CYBER/ExampleCorp/Raw/VULN_SCANNER/YYYY-MM-DD/Vulns/FixedVulns.json</t>
    </r>
  </si>
  <si>
    <r>
      <rPr>
        <b/>
        <sz val="14"/>
        <color rgb="FF000000"/>
        <rFont val="Aptos Narrow"/>
        <family val="2"/>
        <scheme val="minor"/>
      </rPr>
      <t>EDR Platform (USB Policies):</t>
    </r>
    <r>
      <rPr>
        <sz val="14"/>
        <color rgb="FF000000"/>
        <rFont val="Aptos Narrow"/>
        <family val="2"/>
        <scheme val="minor"/>
      </rPr>
      <t xml:space="preserve">
CYBER/ExampleCorp/Raw/EDR_PLATFORM/YYYY-MM-DD/USB/DevicePolicies.json</t>
    </r>
  </si>
  <si>
    <r>
      <rPr>
        <b/>
        <sz val="14"/>
        <color rgb="FF000000"/>
        <rFont val="Aptos Narrow"/>
        <family val="2"/>
        <scheme val="minor"/>
      </rPr>
      <t>EDR Platform (USB Query):</t>
    </r>
    <r>
      <rPr>
        <sz val="14"/>
        <color rgb="FF000000"/>
        <rFont val="Aptos Narrow"/>
        <family val="2"/>
        <scheme val="minor"/>
      </rPr>
      <t xml:space="preserve">
CYBER/ExampleCorp/Raw/EDR_PLATFORM/YYYY-MM-DD/USB/DeviceUsage.json</t>
    </r>
  </si>
  <si>
    <r>
      <t xml:space="preserve">Vulnerability Management (Active Vulns): 
</t>
    </r>
    <r>
      <rPr>
        <i/>
        <sz val="14"/>
        <color rgb="FF000000"/>
        <rFont val="Aptos Narrow"/>
        <family val="2"/>
        <scheme val="minor"/>
      </rPr>
      <t>CYBER/ExampleCorp/Silver/GVulnerabilities/YYYY-MM-DD/ActiveVulns.json</t>
    </r>
    <r>
      <rPr>
        <b/>
        <sz val="14"/>
        <color rgb="FF000000"/>
        <rFont val="Aptos Narrow"/>
        <family val="2"/>
        <scheme val="minor"/>
      </rPr>
      <t xml:space="preserve">
To populate columns: </t>
    </r>
    <r>
      <rPr>
        <i/>
        <sz val="14"/>
        <color rgb="FF000000"/>
        <rFont val="Aptos Narrow"/>
        <family val="2"/>
        <scheme val="minor"/>
      </rPr>
      <t>Vulns Critical, Vulns High, Vulns Medium, Vulns Low, Vulns Total</t>
    </r>
  </si>
  <si>
    <r>
      <t xml:space="preserve">Vulnerability Management (Assets): 
</t>
    </r>
    <r>
      <rPr>
        <i/>
        <sz val="14"/>
        <color rgb="FF000000"/>
        <rFont val="Aptos Narrow"/>
        <family val="2"/>
        <scheme val="minor"/>
      </rPr>
      <t>CYBER/ExampleCorp/Silver/GVulnerabilities/YYYY-MM-DD/Assets.json</t>
    </r>
    <r>
      <rPr>
        <b/>
        <sz val="14"/>
        <color rgb="FF000000"/>
        <rFont val="Aptos Narrow"/>
        <family val="2"/>
        <scheme val="minor"/>
      </rPr>
      <t xml:space="preserve">
To populate columns: </t>
    </r>
    <r>
      <rPr>
        <i/>
        <sz val="14"/>
        <color rgb="FF000000"/>
        <rFont val="Aptos Narrow"/>
        <family val="2"/>
        <scheme val="minor"/>
      </rPr>
      <t>Department, Server VM, Server Type</t>
    </r>
  </si>
  <si>
    <r>
      <t xml:space="preserve">Vulnerability Management (Assets):
</t>
    </r>
    <r>
      <rPr>
        <i/>
        <sz val="14"/>
        <color rgb="FF000000"/>
        <rFont val="Aptos Narrow"/>
        <family val="2"/>
        <scheme val="minor"/>
      </rPr>
      <t>CYBER/ExampleCorp/Silver/GVulnerabilities/YYYY-MM-DD/Assets.json</t>
    </r>
    <r>
      <rPr>
        <b/>
        <sz val="14"/>
        <color rgb="FF000000"/>
        <rFont val="Aptos Narrow"/>
        <family val="2"/>
        <scheme val="minor"/>
      </rPr>
      <t xml:space="preserve">
To populate columns: </t>
    </r>
    <r>
      <rPr>
        <i/>
        <sz val="14"/>
        <color rgb="FF000000"/>
        <rFont val="Aptos Narrow"/>
        <family val="2"/>
        <scheme val="minor"/>
      </rPr>
      <t>Department, Server VM, Server Type</t>
    </r>
  </si>
  <si>
    <r>
      <t xml:space="preserve">Device Policies (USB):
</t>
    </r>
    <r>
      <rPr>
        <i/>
        <sz val="14"/>
        <color rgb="FF000000"/>
        <rFont val="Aptos Narrow"/>
        <family val="2"/>
        <scheme val="minor"/>
      </rPr>
      <t xml:space="preserve">CYBER/ExampleCorp/Silver/USB/YYYY-MM-DD/DevicePolicies.json
</t>
    </r>
    <r>
      <rPr>
        <b/>
        <sz val="14"/>
        <color rgb="FF000000"/>
        <rFont val="Aptos Narrow"/>
        <family val="2"/>
        <scheme val="minor"/>
      </rPr>
      <t xml:space="preserve">
Device Appearance (USB):
</t>
    </r>
    <r>
      <rPr>
        <i/>
        <sz val="14"/>
        <color rgb="FF000000"/>
        <rFont val="Aptos Narrow"/>
        <family val="2"/>
        <scheme val="minor"/>
      </rPr>
      <t xml:space="preserve">CYBER/ExampleCorp/Silver/USB/YYYY-MM-DD/DeviceUsage.json
</t>
    </r>
  </si>
  <si>
    <r>
      <rPr>
        <b/>
        <sz val="14"/>
        <color rgb="FF000000"/>
        <rFont val="Aptos Narrow"/>
        <family val="2"/>
        <scheme val="minor"/>
      </rPr>
      <t>Virtualization Platform  (Assets):</t>
    </r>
    <r>
      <rPr>
        <sz val="14"/>
        <color rgb="FF000000"/>
        <rFont val="Aptos Narrow"/>
        <family val="2"/>
        <scheme val="minor"/>
      </rPr>
      <t xml:space="preserve">
NA
</t>
    </r>
    <r>
      <rPr>
        <b/>
        <sz val="14"/>
        <color rgb="FF000000"/>
        <rFont val="Aptos Narrow"/>
        <family val="2"/>
        <scheme val="minor"/>
      </rPr>
      <t>Vulnerability Scanner (Assets):</t>
    </r>
    <r>
      <rPr>
        <sz val="14"/>
        <color rgb="FF000000"/>
        <rFont val="Aptos Narrow"/>
        <family val="2"/>
        <scheme val="minor"/>
      </rPr>
      <t xml:space="preserve">
NA</t>
    </r>
  </si>
  <si>
    <r>
      <rPr>
        <b/>
        <sz val="14"/>
        <color rgb="FF000000"/>
        <rFont val="Aptos Narrow"/>
        <family val="2"/>
        <scheme val="minor"/>
      </rPr>
      <t>Vulnerability Scanner (Active Vulns):</t>
    </r>
    <r>
      <rPr>
        <sz val="14"/>
        <color rgb="FF000000"/>
        <rFont val="Aptos Narrow"/>
        <family val="2"/>
        <scheme val="minor"/>
      </rPr>
      <t xml:space="preserve">
NA</t>
    </r>
  </si>
  <si>
    <r>
      <rPr>
        <b/>
        <sz val="14"/>
        <color rgb="FF000000"/>
        <rFont val="Aptos Narrow"/>
        <family val="2"/>
        <scheme val="minor"/>
      </rPr>
      <t>Vulnerability Scanner (Fixed Vulns):</t>
    </r>
    <r>
      <rPr>
        <sz val="14"/>
        <color rgb="FF000000"/>
        <rFont val="Aptos Narrow"/>
        <family val="2"/>
        <scheme val="minor"/>
      </rPr>
      <t xml:space="preserve">
Additional refinement (post-query): keeps only the vulnerabilities whose last_fixed is earlier than or equal to the last day of the previous calendar month — that is, it discards fixes from the current month, keeping only those from the full previous month.</t>
    </r>
  </si>
  <si>
    <r>
      <t xml:space="preserve">The Data Science team is responsible for obtaining the raw data from the Raw layer and cross-referencing it. The first part is:
</t>
    </r>
    <r>
      <rPr>
        <b/>
        <sz val="14"/>
        <color rgb="FF000000"/>
        <rFont val="Aptos Narrow"/>
        <family val="2"/>
        <scheme val="minor"/>
      </rPr>
      <t>Virtualization Platform (Assets):</t>
    </r>
    <r>
      <rPr>
        <sz val="14"/>
        <color rgb="FF000000"/>
        <rFont val="Aptos Narrow"/>
        <family val="2"/>
        <scheme val="minor"/>
      </rPr>
      <t xml:space="preserve">
Iterates over the hosts returned by the Virtualization Platform API, extracts the relevant attributes of each VM, and applies a department classification logic. At the end, it records only the VMs that are not templates.
The department is assigned based on the VM sector and tenant. If the sector is in the DEPTS list, it is used as the department itself. Otherwise, the tenant is evaluated: if it contains "CYBER", the department becomes CYBER; if it contains "FULL", "HOSP" or "CENTER", or is empty, it becomes DATACENTER. For all other cases, the default department is IT.
If the department is IT, we change it to IT-INFRA.
Generated columns: Asset VM, Mac Address, Department
These columns are used in the second part:
</t>
    </r>
    <r>
      <rPr>
        <b/>
        <sz val="14"/>
        <color rgb="FF000000"/>
        <rFont val="Aptos Narrow"/>
        <family val="2"/>
        <scheme val="minor"/>
      </rPr>
      <t>Vulnerability Scanner (Assets):</t>
    </r>
    <r>
      <rPr>
        <sz val="14"/>
        <color rgb="FF000000"/>
        <rFont val="Aptos Narrow"/>
        <family val="2"/>
        <scheme val="minor"/>
      </rPr>
      <t xml:space="preserve">
Iterates over the assets exported from the Vulnerability Scanner and cross-references them with the Virtualization Platform data via Mac Address. For each Vulnerability Scanner asset, it checks whether any of its MAC addresses matches one in the Virtualization Platform. If so, the asset department is updated with the Sector from the Virtualization Platform, the previous department is preserved in Last Department (when there is a change), and the Server VM field is filled with the name of the matching VM. Assets with no MAC match are discarded from the final result.</t>
    </r>
  </si>
  <si>
    <r>
      <t xml:space="preserve">The Data Science team is responsible for obtaining the raw data from the Raw layer and cross-referencing it. Processing happens as follows:
</t>
    </r>
    <r>
      <rPr>
        <b/>
        <sz val="14"/>
        <color rgb="FF000000"/>
        <rFont val="Aptos Narrow"/>
        <family val="2"/>
        <scheme val="minor"/>
      </rPr>
      <t>Department, Server VM and Server Type:</t>
    </r>
    <r>
      <rPr>
        <sz val="14"/>
        <color rgb="FF000000"/>
        <rFont val="Aptos Narrow"/>
        <family val="2"/>
        <scheme val="minor"/>
      </rPr>
      <t xml:space="preserve"> Filled by cross-referencing the Assets dataset by Server Id. Each vulnerability inherits the Department, Server VM and Server Type of the corresponding asset.
</t>
    </r>
    <r>
      <rPr>
        <b/>
        <sz val="14"/>
        <color rgb="FF000000"/>
        <rFont val="Aptos Narrow"/>
        <family val="2"/>
        <scheme val="minor"/>
      </rPr>
      <t xml:space="preserve">Severity: </t>
    </r>
    <r>
      <rPr>
        <sz val="14"/>
        <color rgb="FF000000"/>
        <rFont val="Aptos Narrow"/>
        <family val="2"/>
        <scheme val="minor"/>
      </rPr>
      <t xml:space="preserve">Derived from the vpr_severity field (VPR v2). When absent, it uses the native severity field from the Vulnerability Scanner.
</t>
    </r>
    <r>
      <rPr>
        <b/>
        <sz val="14"/>
        <color rgb="FF000000"/>
        <rFont val="Aptos Narrow"/>
        <family val="2"/>
        <scheme val="minor"/>
      </rPr>
      <t xml:space="preserve">Vuln Age-in-days: </t>
    </r>
    <r>
      <rPr>
        <sz val="14"/>
        <color rgb="FF000000"/>
        <rFont val="Aptos Narrow"/>
        <family val="2"/>
        <scheme val="minor"/>
      </rPr>
      <t xml:space="preserve">Calculated as the difference in days between the current date and first_found. If the vulnerability has resurfaced (resurfaced_data), the count restarts from that date.
</t>
    </r>
    <r>
      <rPr>
        <b/>
        <sz val="14"/>
        <color rgb="FF000000"/>
        <rFont val="Aptos Narrow"/>
        <family val="2"/>
        <scheme val="minor"/>
      </rPr>
      <t>Vulnerability count by severity:</t>
    </r>
    <r>
      <rPr>
        <sz val="14"/>
        <color rgb="FF000000"/>
        <rFont val="Aptos Narrow"/>
        <family val="2"/>
        <scheme val="minor"/>
      </rPr>
      <t xml:space="preserve"> After the cross-reference, the Vulns Critical, Vulns High, Vulns Medium, Vulns Low and Vulns Total fields of the Assets dataset are recalculated based on the corresponding active vulnerabilities, updating the Assets file. Vulnerabilities with Risk State == ACCEPTED are not counted.
</t>
    </r>
    <r>
      <rPr>
        <b/>
        <sz val="14"/>
        <color rgb="FF000000"/>
        <rFont val="Aptos Narrow"/>
        <family val="2"/>
        <scheme val="minor"/>
      </rPr>
      <t>Note:</t>
    </r>
    <r>
      <rPr>
        <sz val="14"/>
        <color rgb="FF000000"/>
        <rFont val="Aptos Narrow"/>
        <family val="2"/>
        <scheme val="minor"/>
      </rPr>
      <t xml:space="preserve"> Vulnerabilities from assets with no match in the Assets dataset (Unwatched) are excluded from the final data.</t>
    </r>
  </si>
  <si>
    <r>
      <t xml:space="preserve">The Data Science team is responsible for obtaining the raw data from the Raw layer and cross-referencing it. Processing happens as follows:
</t>
    </r>
    <r>
      <rPr>
        <b/>
        <sz val="14"/>
        <color rgb="FF000000"/>
        <rFont val="Aptos Narrow"/>
        <family val="2"/>
        <scheme val="minor"/>
      </rPr>
      <t>Department, Server VM and Server Type:</t>
    </r>
    <r>
      <rPr>
        <sz val="14"/>
        <color rgb="FF000000"/>
        <rFont val="Aptos Narrow"/>
        <family val="2"/>
        <scheme val="minor"/>
      </rPr>
      <t xml:space="preserve"> Filled by cross-referencing the Assets dataset by Server Id. Each vulnerability inherits the Department, Server VM and Server Type of the corresponding asset.
</t>
    </r>
    <r>
      <rPr>
        <b/>
        <sz val="14"/>
        <color rgb="FF000000"/>
        <rFont val="Aptos Narrow"/>
        <family val="2"/>
        <scheme val="minor"/>
      </rPr>
      <t>Severity</t>
    </r>
    <r>
      <rPr>
        <sz val="14"/>
        <color rgb="FF000000"/>
        <rFont val="Aptos Narrow"/>
        <family val="2"/>
        <scheme val="minor"/>
      </rPr>
      <t xml:space="preserve">: Derived from the vpr_severity field (VPR v2). When absent, it uses the native severity field from the Vulnerability Scanner.
</t>
    </r>
    <r>
      <rPr>
        <b/>
        <sz val="14"/>
        <color rgb="FF000000"/>
        <rFont val="Aptos Narrow"/>
        <family val="2"/>
        <scheme val="minor"/>
      </rPr>
      <t xml:space="preserve">Vuln Age-in-days: </t>
    </r>
    <r>
      <rPr>
        <sz val="14"/>
        <color rgb="FF000000"/>
        <rFont val="Aptos Narrow"/>
        <family val="2"/>
        <scheme val="minor"/>
      </rPr>
      <t xml:space="preserve">Calculated as the difference in days between the current date and first_found. If the vulnerability has resurfaced (resurfaced_data), the count restarts from that date.
</t>
    </r>
    <r>
      <rPr>
        <b/>
        <sz val="14"/>
        <color rgb="FF000000"/>
        <rFont val="Aptos Narrow"/>
        <family val="2"/>
        <scheme val="minor"/>
      </rPr>
      <t>Note:</t>
    </r>
    <r>
      <rPr>
        <sz val="14"/>
        <color rgb="FF000000"/>
        <rFont val="Aptos Narrow"/>
        <family val="2"/>
        <scheme val="minor"/>
      </rPr>
      <t xml:space="preserve"> Vulnerabilities from assets with no match in the Assets dataset (Unwatched) are kept in the final data.</t>
    </r>
  </si>
  <si>
    <r>
      <t xml:space="preserve">The Data Science team is responsible for obtaining the raw data from the Raw layer and structuring it as shown in the next step.
</t>
    </r>
    <r>
      <rPr>
        <b/>
        <sz val="14"/>
        <color rgb="FF000000"/>
        <rFont val="Aptos Narrow"/>
        <family val="2"/>
        <scheme val="minor"/>
      </rPr>
      <t xml:space="preserve">
Note</t>
    </r>
    <r>
      <rPr>
        <sz val="14"/>
        <color rgb="FF000000"/>
        <rFont val="Aptos Narrow"/>
        <family val="2"/>
        <scheme val="minor"/>
      </rPr>
      <t>: The raw data in the Raw layer is of type "Incremental", so we do not want duplicate records based on: "Date", "Device Combined Id", "Computer Name".</t>
    </r>
  </si>
  <si>
    <r>
      <t xml:space="preserve">The Data Science team is responsible for obtaining the raw data from the Raw layer and cross-referencing it. Processing happens as follows:
</t>
    </r>
    <r>
      <rPr>
        <b/>
        <sz val="14"/>
        <color rgb="FF000000"/>
        <rFont val="Aptos Narrow"/>
        <family val="2"/>
        <scheme val="minor"/>
      </rPr>
      <t xml:space="preserve">Usage History (Days): </t>
    </r>
    <r>
      <rPr>
        <sz val="14"/>
        <color rgb="FF000000"/>
        <rFont val="Aptos Narrow"/>
        <family val="2"/>
        <scheme val="minor"/>
      </rPr>
      <t xml:space="preserve">Calculated as the difference in days between the most recent and the oldest date present in the usage dataset (Device Appearance (USB)). It represents the total history window the audit is based on.
</t>
    </r>
    <r>
      <rPr>
        <b/>
        <sz val="14"/>
        <color rgb="FF000000"/>
        <rFont val="Aptos Narrow"/>
        <family val="2"/>
        <scheme val="minor"/>
      </rPr>
      <t>Is Active</t>
    </r>
    <r>
      <rPr>
        <sz val="14"/>
        <color rgb="FF000000"/>
        <rFont val="Aptos Narrow"/>
        <family val="2"/>
        <scheme val="minor"/>
      </rPr>
      <t xml:space="preserve">: Derived from Last Seen. It is True when the exception has at least one usage record with "Full access" matched to it (that is, Last Seen filled); otherwise False.
</t>
    </r>
    <r>
      <rPr>
        <b/>
        <sz val="14"/>
        <color rgb="FF000000"/>
        <rFont val="Aptos Narrow"/>
        <family val="2"/>
        <scheme val="minor"/>
      </rPr>
      <t>Last Seen:</t>
    </r>
    <r>
      <rPr>
        <sz val="14"/>
        <color rgb="FF000000"/>
        <rFont val="Aptos Narrow"/>
        <family val="2"/>
        <scheme val="minor"/>
      </rPr>
      <t xml:space="preserve"> Filled by cross-referencing the usage dataset, restricted to events whose Policy Action contains "Full access", using as key the columns indicated by the exception Match Method (COMBINED_ID -&gt; Device Combined Id; VID_PID_SERIAL -&gt; Vendor + Product + Serial; VID_PID -&gt; Vendor + Product). It receives the most recent connection date among the matching records.
</t>
    </r>
    <r>
      <rPr>
        <b/>
        <sz val="14"/>
        <color rgb="FF000000"/>
        <rFont val="Aptos Narrow"/>
        <family val="2"/>
        <scheme val="minor"/>
      </rPr>
      <t>Last Connected Machines:</t>
    </r>
    <r>
      <rPr>
        <sz val="14"/>
        <color rgb="FF000000"/>
        <rFont val="Aptos Narrow"/>
        <family val="2"/>
        <scheme val="minor"/>
      </rPr>
      <t xml:space="preserve"> Filled by the same cross-reference as Last Seen. It receives the ordered, de-duplicated list of machine names (Computer Name) where the device was used with "Full access".
</t>
    </r>
    <r>
      <rPr>
        <b/>
        <sz val="14"/>
        <color rgb="FF000000"/>
        <rFont val="Aptos Narrow"/>
        <family val="2"/>
        <scheme val="minor"/>
      </rPr>
      <t>Note</t>
    </r>
    <r>
      <rPr>
        <sz val="14"/>
        <color rgb="FF000000"/>
        <rFont val="Aptos Narrow"/>
        <family val="2"/>
        <scheme val="minor"/>
      </rPr>
      <t>: Exceptions with no match in the usage dataset remain in the report with Is Active = False and the Last Seen and Last Connected Machines fields filled with "-".</t>
    </r>
  </si>
  <si>
    <r>
      <t xml:space="preserve">The data is organized into the columns </t>
    </r>
    <r>
      <rPr>
        <b/>
        <sz val="14"/>
        <color rgb="FF000000"/>
        <rFont val="Aptos Narrow"/>
        <family val="2"/>
        <scheme val="minor"/>
      </rPr>
      <t>Department, Server Id, Server VM, Server Name, Server Type, Score ACR, Score AES, Vulns Critical, Vulns High, Vulns Medium, Vulns Low, Vulns Total, Mac Address, Last Seen, Last Department, Department Changed, Server Has Agent?, Server Installed Softwares, Reference Month, Reference Year e Reference Date</t>
    </r>
    <r>
      <rPr>
        <sz val="14"/>
        <color rgb="FF000000"/>
        <rFont val="Aptos Narrow"/>
        <family val="2"/>
        <scheme val="minor"/>
      </rPr>
      <t>, ensuring consistency, asset traceability, and data readiness for the indicators layer.</t>
    </r>
  </si>
  <si>
    <r>
      <t xml:space="preserve">The data is organized into the columns </t>
    </r>
    <r>
      <rPr>
        <b/>
        <sz val="14"/>
        <color rgb="FF000000"/>
        <rFont val="Aptos Narrow"/>
        <family val="2"/>
        <scheme val="minor"/>
      </rPr>
      <t>Department, Severity, Server Id, Server VM, Server Name, Server Ip, Server Type, Server System, Vuln Age-in-days, Vuln Group, Vuln Id, Vuln Name, Vuln Family, Vuln Resume, Vuln Solution, Vuln CVEs, Vuln Source, Vuln State, Risk State, First Seen, VPR, VPR v2, VPR v2 Percentile, EPSS Score, Exploit Available, Exploit Code Maturity, Exploitability Ease, Exploited By Malware, Exploited By Nessus, On CISA KEV, Reference Month, Reference Year e Reference Date</t>
    </r>
    <r>
      <rPr>
        <sz val="14"/>
        <color rgb="FF000000"/>
        <rFont val="Aptos Narrow"/>
        <family val="2"/>
        <scheme val="minor"/>
      </rPr>
      <t>, ensuring consistency, asset traceability, and data readiness for the indicators layer.</t>
    </r>
  </si>
  <si>
    <r>
      <t>The data is organized into the columns</t>
    </r>
    <r>
      <rPr>
        <b/>
        <sz val="14"/>
        <color rgb="FF000000"/>
        <rFont val="Aptos Narrow"/>
        <family val="2"/>
        <scheme val="minor"/>
      </rPr>
      <t xml:space="preserve"> Department, Severity, Server Id, Server VM, Server Name, Server Ip, Server Type, Server System,, Vuln Group, Vuln Id, Vuln Name, Vuln Family, Vuln Resume, Vuln Solution, Vuln CVEs, Vuln Source, Vuln State, Last Fixed, VPR, VPR v2, VPR v2 Percentile, EPSS Score, Exploit Available, Exploit Code Maturity, Exploitability Ease, Exploited By Malware, Exploited By Nessus, On CISA KEV, Reference Month, Reference Year e Reference Date</t>
    </r>
    <r>
      <rPr>
        <sz val="14"/>
        <color rgb="FF000000"/>
        <rFont val="Aptos Narrow"/>
        <family val="2"/>
        <scheme val="minor"/>
      </rPr>
      <t>, ensuring consistency, asset traceability, and data readiness for the indicators layer.</t>
    </r>
  </si>
  <si>
    <r>
      <t>The data is organized into the columns</t>
    </r>
    <r>
      <rPr>
        <b/>
        <sz val="14"/>
        <color rgb="FF000000"/>
        <rFont val="Aptos Narrow"/>
        <family val="2"/>
        <scheme val="minor"/>
      </rPr>
      <t xml:space="preserve"> Policy Id, Policy Name, Policy Platform, Policy Enabled, Enhanced File Metadata, USB Enforcement Mode, USB Device Class, USB Device Class Action, Exception Id, Exception Action, Match Method, Device Vendor Id, Device Product Id, Device Serial Id, Device Combined Id, Description, Created At, Modified At, Reference Month, Reference Year, Reference Date</t>
    </r>
    <r>
      <rPr>
        <sz val="14"/>
        <color rgb="FF000000"/>
        <rFont val="Aptos Narrow"/>
        <family val="2"/>
        <scheme val="minor"/>
      </rPr>
      <t>, ensuring consistency, asset traceability, and data readiness for the indicators layer.</t>
    </r>
  </si>
  <si>
    <r>
      <t>The data is organized into the columns</t>
    </r>
    <r>
      <rPr>
        <b/>
        <sz val="14"/>
        <color rgb="FF000000"/>
        <rFont val="Aptos Narrow"/>
        <family val="2"/>
        <scheme val="minor"/>
      </rPr>
      <t xml:space="preserve"> Date, Platform, Computer Name, Device Name, Device Vendor Id, Device Product Id, Device Serial Id, Device Combined Id, Policy Action, Device Class, Connection Type, Reference Month, Reference Year, Reference Date</t>
    </r>
    <r>
      <rPr>
        <sz val="14"/>
        <color rgb="FF000000"/>
        <rFont val="Aptos Narrow"/>
        <family val="2"/>
        <scheme val="minor"/>
      </rPr>
      <t>, ensuring consistency, asset traceability, and data readiness for the indicators layer.</t>
    </r>
  </si>
  <si>
    <r>
      <t>The data is organized into the columns</t>
    </r>
    <r>
      <rPr>
        <b/>
        <sz val="14"/>
        <color rgb="FF000000"/>
        <rFont val="Aptos Narrow"/>
        <family val="2"/>
        <scheme val="minor"/>
      </rPr>
      <t xml:space="preserve"> Usage History (Days), Is Active, Exception Id, Exception Action, Connection Type, Match Method, Device Vendor Id, Device Product Id, Device Serial Id, Device Combined Id, Device Name, Description, Created At, Modified At, Last Seen, Last Connected Machines, Policy Id, Policy Name, Policy Platform, Policy Enabled, Enhanced File Metadata, USB Enforcement Mode, USB Device Class, USB Device Class Action, Reference Month, Reference Year, Reference Date</t>
    </r>
    <r>
      <rPr>
        <sz val="14"/>
        <color rgb="FF000000"/>
        <rFont val="Aptos Narrow"/>
        <family val="2"/>
        <scheme val="minor"/>
      </rPr>
      <t xml:space="preserve"> ensuring consistency, asset traceability, and data readiness for the indicators layer.</t>
    </r>
  </si>
  <si>
    <r>
      <rPr>
        <b/>
        <sz val="14"/>
        <color rgb="FF000000"/>
        <rFont val="Aptos Narrow"/>
        <family val="2"/>
        <scheme val="minor"/>
      </rPr>
      <t>Vulnerability Management (Unwatched Assets)</t>
    </r>
    <r>
      <rPr>
        <sz val="14"/>
        <color rgb="FF000000"/>
        <rFont val="Aptos Narrow"/>
        <family val="2"/>
        <scheme val="minor"/>
      </rPr>
      <t>: Assets with no MAC match in the Virtualization Platform are recorded in this dataset, flagging hosts monitored by the Vulnerability Scanner that have no link to any VM registered in the Virtualization Platform.
Note: they are stored separately for later tracking and possible automatic removal.</t>
    </r>
  </si>
  <si>
    <r>
      <rPr>
        <b/>
        <sz val="14"/>
        <color rgb="FF000000"/>
        <rFont val="Aptos Narrow"/>
        <family val="2"/>
        <scheme val="minor"/>
      </rPr>
      <t>Inactive Devices (USB):</t>
    </r>
    <r>
      <rPr>
        <sz val="14"/>
        <color rgb="FF000000"/>
        <rFont val="Aptos Narrow"/>
        <family val="2"/>
        <scheme val="minor"/>
      </rPr>
      <t xml:space="preserve"> devices whose "Usage History (Days)" is greater than or equal to 90 days and whose "Is Active" column is marked True.
Note: they are stored separately for later tracking and possible automatic removal.</t>
    </r>
  </si>
  <si>
    <r>
      <t xml:space="preserve">Data is stored in the Silver layer; the structured data is kept as query-ready datasets for indicator calculation.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 xml:space="preserve">CYBER/ExampleCorp/Silver/GVulnerabilities/YYYY-MM-DD/Assets.json
CYBER/ExampleCorp/Silver/GVulnerabilities/YYYY-MM-DD/UnwatchedAssets.json
</t>
    </r>
    <r>
      <rPr>
        <sz val="14"/>
        <color rgb="FF000000"/>
        <rFont val="Aptos Narrow"/>
        <family val="2"/>
        <scheme val="minor"/>
      </rPr>
      <t xml:space="preserve">
This organization ensures temporal traceability, ingestion standardization, and ease of data auditing.</t>
    </r>
  </si>
  <si>
    <r>
      <t xml:space="preserve">Data is stored in the Silver layer; the structured data is kept as query-ready datasets for indicator calculation.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CYBER/ExampleCorp/Silver/GVulnerabilities/YYYY-MM-DD/ActiveVulns.json</t>
    </r>
    <r>
      <rPr>
        <sz val="14"/>
        <color rgb="FF000000"/>
        <rFont val="Aptos Narrow"/>
        <family val="2"/>
        <scheme val="minor"/>
      </rPr>
      <t xml:space="preserve">
This organization ensures temporal traceability, ingestion standardization, and ease of data auditing.</t>
    </r>
  </si>
  <si>
    <r>
      <t xml:space="preserve">Data is stored in the Silver layer; the structured data is kept as query-ready datasets for indicator calculation.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CYBER/ExampleCorp/Silver/GVulnerabilities/YYYY-MM-DD/FixedVulns.json</t>
    </r>
    <r>
      <rPr>
        <sz val="14"/>
        <color rgb="FF000000"/>
        <rFont val="Aptos Narrow"/>
        <family val="2"/>
        <scheme val="minor"/>
      </rPr>
      <t xml:space="preserve">
Note: The date in the path refers to the collection run date, whose data reflects the previous calendar month.
This organization ensures temporal traceability, ingestion standardization, and ease of data auditing.</t>
    </r>
  </si>
  <si>
    <r>
      <t xml:space="preserve">Data is stored in the Silver layer; the structured data is kept as query-ready datasets for indicator calculation.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CYBER/ExampleCorp/Silver/USB/YYYY-MM-DD/DevicePolicies.json</t>
    </r>
    <r>
      <rPr>
        <sz val="14"/>
        <color rgb="FF000000"/>
        <rFont val="Aptos Narrow"/>
        <family val="2"/>
        <scheme val="minor"/>
      </rPr>
      <t xml:space="preserve">
Note: The date in the path refers to the collection run date, whose data reflects the previous calendar month.
This organization ensures temporal traceability, ingestion standardization, and ease of data auditing.</t>
    </r>
  </si>
  <si>
    <r>
      <t xml:space="preserve">Data is stored in the Silver layer; the structured data is kept as query-ready datasets for indicator calculation.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CYBER/ExampleCorp/Silver/USB/YYYY-MM-DD/DeviceUsage.json</t>
    </r>
    <r>
      <rPr>
        <sz val="14"/>
        <color rgb="FF000000"/>
        <rFont val="Aptos Narrow"/>
        <family val="2"/>
        <scheme val="minor"/>
      </rPr>
      <t xml:space="preserve">
Note: The date in the path refers to the collection run date, whose data reflects the previous calendar month.
This organization ensures temporal traceability, ingestion standardization, and ease of data auditing.</t>
    </r>
  </si>
  <si>
    <r>
      <t xml:space="preserve">Data is stored in the Silver layer; the structured data is kept as query-ready datasets for indicator calculation.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 xml:space="preserve">CYBER/ExampleCorp/Silver/USB/YYYY-MM-DD/DeviceManagement.json
CYBER/ExampleCorp/Silver/USB/YYYY-MM-DD/DeviceInative.json
</t>
    </r>
    <r>
      <rPr>
        <sz val="14"/>
        <color rgb="FF000000"/>
        <rFont val="Aptos Narrow"/>
        <family val="2"/>
        <scheme val="minor"/>
      </rPr>
      <t xml:space="preserve">
Note: The date in the path refers to the collection run date, whose data reflects the previous calendar month.
This organization ensures temporal traceability, ingestion standardization, and ease of data auditing.</t>
    </r>
  </si>
  <si>
    <t>João V. Kienen</t>
  </si>
  <si>
    <r>
      <t xml:space="preserve">The </t>
    </r>
    <r>
      <rPr>
        <b/>
        <sz val="14"/>
        <color rgb="FF000000"/>
        <rFont val="Aptos Narrow"/>
        <family val="2"/>
        <scheme val="minor"/>
      </rPr>
      <t>Gold</t>
    </r>
    <r>
      <rPr>
        <sz val="14"/>
        <color rgb="FF000000"/>
        <rFont val="Aptos Narrow"/>
        <scheme val="minor"/>
      </rPr>
      <t xml:space="preserve"> layer consolidates the Silver layer data into indicators ready for analytical and executive consumption.
All indicators must be generated by client, department group, and department.
</t>
    </r>
    <r>
      <rPr>
        <b/>
        <sz val="14"/>
        <color rgb="FF000000"/>
        <rFont val="Aptos Narrow"/>
        <family val="2"/>
        <scheme val="minor"/>
      </rPr>
      <t>The generated indicators are:</t>
    </r>
    <r>
      <rPr>
        <sz val="14"/>
        <color rgb="FF000000"/>
        <rFont val="Aptos Narrow"/>
        <scheme val="minor"/>
      </rPr>
      <t xml:space="preserve">
</t>
    </r>
    <r>
      <rPr>
        <b/>
        <sz val="14"/>
        <color rgb="FF000000"/>
        <rFont val="Aptos Narrow"/>
        <family val="2"/>
        <scheme val="minor"/>
      </rPr>
      <t>1. Number of monitored hosts:</t>
    </r>
    <r>
      <rPr>
        <sz val="14"/>
        <color rgb="FF000000"/>
        <rFont val="Aptos Narrow"/>
        <scheme val="minor"/>
      </rPr>
      <t xml:space="preserve">
Calculation: count of distinct "Server Id".
Rationale: it is the denominator base for almost all other indicators and the size metric of the managed estate. Without it, averages and percentages have no reference.
</t>
    </r>
    <r>
      <rPr>
        <b/>
        <sz val="14"/>
        <color rgb="FF000000"/>
        <rFont val="Aptos Narrow"/>
        <family val="2"/>
        <scheme val="minor"/>
      </rPr>
      <t>2. Average number of active vulnerabilities per monitored host:</t>
    </r>
    <r>
      <rPr>
        <sz val="14"/>
        <color rgb="FF000000"/>
        <rFont val="Aptos Narrow"/>
        <scheme val="minor"/>
      </rPr>
      <t xml:space="preserve">
Calculation: sum of active vulnerabilities divided by the "Number of monitored hosts". Weighted average by the number of hosts.
Filters: disregard Risk State = ACCEPTED.
Rationale: risk density per asset; allows fair comparison of departments of different sizes.
</t>
    </r>
    <r>
      <rPr>
        <b/>
        <sz val="14"/>
        <color rgb="FF000000"/>
        <rFont val="Aptos Narrow"/>
        <family val="2"/>
        <scheme val="minor"/>
      </rPr>
      <t>3. Top 10 hosts with the most active vulnerabilities:</t>
    </r>
    <r>
      <rPr>
        <sz val="14"/>
        <color rgb="FF000000"/>
        <rFont val="Aptos Narrow"/>
        <scheme val="minor"/>
      </rPr>
      <t xml:space="preserve">
Calculation: hosts with the highest sum of active vulnerabilities.
Filters: disregard Risk State = ACCEPTED.
Rationale: identifies the assets that concentrate the largest exposure volume, natural targets for remediation campaigns.
</t>
    </r>
    <r>
      <rPr>
        <b/>
        <sz val="14"/>
        <color rgb="FF000000"/>
        <rFont val="Aptos Narrow"/>
        <family val="2"/>
        <scheme val="minor"/>
      </rPr>
      <t>4. Top 10 hosts with the most active critical vulnerabilities:</t>
    </r>
    <r>
      <rPr>
        <sz val="14"/>
        <color rgb="FF000000"/>
        <rFont val="Aptos Narrow"/>
        <scheme val="minor"/>
      </rPr>
      <t xml:space="preserve">
Calculation: hosts with the highest active "Vulns Critical" value.
Filters: disregard Risk State = ACCEPTED.
Rationale: separates raw volume from severity; a host with few vulns but all critical is more urgent than one with many low vulns.
</t>
    </r>
    <r>
      <rPr>
        <b/>
        <sz val="14"/>
        <color rgb="FF000000"/>
        <rFont val="Aptos Narrow"/>
        <family val="2"/>
        <scheme val="minor"/>
      </rPr>
      <t>5. Top 10 hosts with the highest ACR:</t>
    </r>
    <r>
      <rPr>
        <sz val="14"/>
        <color rgb="FF000000"/>
        <rFont val="Aptos Narrow"/>
        <scheme val="minor"/>
      </rPr>
      <t xml:space="preserve">
Calculation: hosts with the highest "Score ACR".
Rationale: the ACR (1-10) measures the asset business criticality; lists the assets whose compromise would have the greatest impact, regardless of how many vulnerabilities they currently have.
</t>
    </r>
    <r>
      <rPr>
        <b/>
        <sz val="14"/>
        <color rgb="FF000000"/>
        <rFont val="Aptos Narrow"/>
        <family val="2"/>
        <scheme val="minor"/>
      </rPr>
      <t>6. Top 10 hosts with the highest AES:</t>
    </r>
    <r>
      <rPr>
        <sz val="14"/>
        <color rgb="FF000000"/>
        <rFont val="Aptos Narrow"/>
        <scheme val="minor"/>
      </rPr>
      <t xml:space="preserve">
Calculation: hosts with the highest "Score AES".
Rationale: the AES (0-1000) measures the asset current exposure (criticality + risk of present vulnerabilities); lists where the probability/severity of compromise is highest right now.
</t>
    </r>
    <r>
      <rPr>
        <b/>
        <sz val="14"/>
        <color rgb="FF000000"/>
        <rFont val="Aptos Narrow"/>
        <family val="2"/>
        <scheme val="minor"/>
      </rPr>
      <t>7. Top 10: Weighted risk index by host and department:</t>
    </r>
    <r>
      <rPr>
        <sz val="14"/>
        <color rgb="FF000000"/>
        <rFont val="Aptos Narrow"/>
        <scheme val="minor"/>
      </rPr>
      <t xml:space="preserve">
Calculation: index = 10xVulns Critical + 5xVulns High + 2xVulns Medium + 1xVulns Low (active), per host and summed by department.
Filters: disregard Risk State = ACCEPTED.
Rationale: counting vulnerabilities treats a critical the same as a low. The weighted index reorders the ranking by real risk and serves as the single headline number of the dashboard.</t>
    </r>
  </si>
  <si>
    <r>
      <t xml:space="preserve">The </t>
    </r>
    <r>
      <rPr>
        <b/>
        <sz val="14"/>
        <color rgb="FF000000"/>
        <rFont val="Aptos Narrow"/>
        <family val="2"/>
        <scheme val="minor"/>
      </rPr>
      <t>Gold</t>
    </r>
    <r>
      <rPr>
        <sz val="14"/>
        <color rgb="FF000000"/>
        <rFont val="Aptos Narrow"/>
        <scheme val="minor"/>
      </rPr>
      <t xml:space="preserve"> layer consolidates the Silver layer data into indicators ready for analytical and executive consumption.
All indicators must be generated by client, department group, and department.
Reference SLAs: Critical = 15 days | High = 30 days | Medium = 90 days | Low = 180 days.
</t>
    </r>
    <r>
      <rPr>
        <b/>
        <sz val="14"/>
        <color rgb="FF000000"/>
        <rFont val="Aptos Narrow"/>
        <family val="2"/>
        <scheme val="minor"/>
      </rPr>
      <t>The generated indicators are:</t>
    </r>
    <r>
      <rPr>
        <sz val="14"/>
        <color rgb="FF000000"/>
        <rFont val="Aptos Narrow"/>
        <scheme val="minor"/>
      </rPr>
      <t xml:space="preserve">
</t>
    </r>
    <r>
      <rPr>
        <b/>
        <sz val="14"/>
        <color rgb="FF000000"/>
        <rFont val="Aptos Narrow"/>
        <family val="2"/>
        <scheme val="minor"/>
      </rPr>
      <t>1. Number of fixed vulnerabilities by severity:</t>
    </r>
    <r>
      <rPr>
        <sz val="14"/>
        <color rgb="FF000000"/>
        <rFont val="Aptos Narrow"/>
        <scheme val="minor"/>
      </rPr>
      <t xml:space="preserve">
Calculation: count of records grouped by "Vuln Severity" (in the reference month).
Rationale: volume of risk outflow, measures the remediation effort/delivery of the period.
</t>
    </r>
    <r>
      <rPr>
        <b/>
        <sz val="14"/>
        <color rgb="FF000000"/>
        <rFont val="Aptos Narrow"/>
        <family val="2"/>
        <scheme val="minor"/>
      </rPr>
      <t>2. Number of fixed vulnerabilities by severity (year-to-date):</t>
    </r>
    <r>
      <rPr>
        <sz val="14"/>
        <color rgb="FF000000"/>
        <rFont val="Aptos Narrow"/>
        <scheme val="minor"/>
      </rPr>
      <t xml:space="preserve">
Calculation: cumulative count in the current year, grouped by "Vuln Severity".
Rationale: annual trend view of remediation delivery, useful for goals and YTD comparisons.
</t>
    </r>
    <r>
      <rPr>
        <b/>
        <sz val="14"/>
        <color rgb="FF000000"/>
        <rFont val="Aptos Narrow"/>
        <family val="2"/>
        <scheme val="minor"/>
      </rPr>
      <t>3. Mean time to remediate (MTTR) by severity:</t>
    </r>
    <r>
      <rPr>
        <sz val="14"/>
        <color rgb="FF000000"/>
        <rFont val="Aptos Narrow"/>
        <scheme val="minor"/>
      </rPr>
      <t xml:space="preserve">
Calculation: MTTR = "Last Fixed" - "First Seen", aggregated by "Vuln Severity". Show mean, median and p90/p95. Average at client/group level weighted by the volume of each department; at department level, arithmetic mean of the department itself.
Rationale: MTTR is the central KPI of remediation effectiveness; broken down by severity it shows whether deadlines track severity.
</t>
    </r>
    <r>
      <rPr>
        <b/>
        <sz val="14"/>
        <color rgb="FF000000"/>
        <rFont val="Aptos Narrow"/>
        <family val="2"/>
        <scheme val="minor"/>
      </rPr>
      <t>4. Mean time to remediate (MTTR) by severity (year-to-date):</t>
    </r>
    <r>
      <rPr>
        <sz val="14"/>
        <color rgb="FF000000"/>
        <rFont val="Aptos Narrow"/>
        <scheme val="minor"/>
      </rPr>
      <t xml:space="preserve">
Calculation: MTTR = "Last Fixed" - "First Seen", aggregated by "Vuln Severity", cumulative in the current year.
Rationale: annual MTTR trend; evidences sustained improvement or degradation of the process.
</t>
    </r>
    <r>
      <rPr>
        <b/>
        <sz val="14"/>
        <color rgb="FF000000"/>
        <rFont val="Aptos Narrow"/>
        <family val="2"/>
        <scheme val="minor"/>
      </rPr>
      <t>5. Percentage of vulnerabilities fixed within SLA by severity:</t>
    </r>
    <r>
      <rPr>
        <sz val="14"/>
        <color rgb="FF000000"/>
        <rFont val="Aptos Narrow"/>
        <scheme val="minor"/>
      </rPr>
      <t xml:space="preserve">
Calculation: of the fixed vulnerabilities, the percentage whose MTTR ("Last Fixed" - "First Seen") &lt;= the SLA of the severity. Month and year-to-date views.
Rationale: measures deadline discipline in delivery and is the main accountability number of remediation.
</t>
    </r>
    <r>
      <rPr>
        <b/>
        <sz val="14"/>
        <color rgb="FF000000"/>
        <rFont val="Aptos Narrow"/>
        <family val="2"/>
        <scheme val="minor"/>
      </rPr>
      <t>6. Net balance / burndown (inflow vs. outflow):</t>
    </r>
    <r>
      <rPr>
        <sz val="14"/>
        <color rgb="FF000000"/>
        <rFont val="Aptos Narrow"/>
        <scheme val="minor"/>
      </rPr>
      <t xml:space="preserve">
Calculation: per month, new vulnerabilities (12. New vulnerabilities in the month) minus fixed vulnerabilities (1. Number of fixed vulnerabilities by severity); accumulate for a burndown curve.
Rationale: shows whether the department is winning or losing the race, more informative than fixed volume in isolation. Requires cross-referencing the active and fixed vulnerability datasets.
</t>
    </r>
    <r>
      <rPr>
        <b/>
        <sz val="14"/>
        <color rgb="FF000000"/>
        <rFont val="Aptos Narrow"/>
        <family val="2"/>
        <scheme val="minor"/>
      </rPr>
      <t>7. Severity mix: fixed vs. open:</t>
    </r>
    <r>
      <rPr>
        <sz val="14"/>
        <color rgb="FF000000"/>
        <rFont val="Aptos Narrow"/>
        <scheme val="minor"/>
      </rPr>
      <t xml:space="preserve">
Calculation: percentage distribution by "Vuln Severity" of the fixed ones, compared to the distribution of the active ones (Active Vulnerabilities).
Rationale: reveals whether the department closes many lows while criticals age, or prioritizes correctly.
</t>
    </r>
    <r>
      <rPr>
        <b/>
        <sz val="14"/>
        <color rgb="FF000000"/>
        <rFont val="Aptos Narrow"/>
        <family val="2"/>
        <scheme val="minor"/>
      </rPr>
      <t>8. Reopen / recurrence rate:</t>
    </r>
    <r>
      <rPr>
        <sz val="14"/>
        <color rgb="FF000000"/>
        <rFont val="Aptos Narrow"/>
        <scheme val="minor"/>
      </rPr>
      <t xml:space="preserve">
Calculation: proportion of vulnerabilities that appear as fixed and come back as active in a later month (same "Vuln Id" + "Server Id").
Rationale: a quality signal that volume does not capture, a patch that did not hold, a rollback or regression. Requires cross-referencing fixed x active in monthly windows.
</t>
    </r>
    <r>
      <rPr>
        <b/>
        <sz val="14"/>
        <color rgb="FF000000"/>
        <rFont val="Aptos Narrow"/>
        <family val="2"/>
        <scheme val="minor"/>
      </rPr>
      <t>9. Top CVEs / families fixed:</t>
    </r>
    <r>
      <rPr>
        <sz val="14"/>
        <color rgb="FF000000"/>
        <rFont val="Aptos Narrow"/>
        <scheme val="minor"/>
      </rPr>
      <t xml:space="preserve">
Calculation: "Vuln Family" ordered by the number of instances fixed in the period.
Rationale: evidences effective patch campaigns and the concrete impact of remediation actions.</t>
    </r>
  </si>
  <si>
    <r>
      <t xml:space="preserve">The </t>
    </r>
    <r>
      <rPr>
        <b/>
        <sz val="14"/>
        <color rgb="FF000000"/>
        <rFont val="Aptos Narrow"/>
        <family val="2"/>
        <scheme val="minor"/>
      </rPr>
      <t>Gold</t>
    </r>
    <r>
      <rPr>
        <sz val="14"/>
        <color rgb="FF000000"/>
        <rFont val="Aptos Narrow"/>
        <scheme val="minor"/>
      </rPr>
      <t xml:space="preserve"> layer consolidates the Silver layer data into indicators ready for analytical and executive consumption.
All indicators must be generated by client, department group, and department.
Reference SLAs: Critical = 15 days | High = 30 days | Medium = 90 days | Low = 180 days.
</t>
    </r>
    <r>
      <rPr>
        <b/>
        <sz val="14"/>
        <color rgb="FF000000"/>
        <rFont val="Aptos Narrow"/>
        <family val="2"/>
        <scheme val="minor"/>
      </rPr>
      <t>The generated indicators are:</t>
    </r>
    <r>
      <rPr>
        <sz val="14"/>
        <color rgb="FF000000"/>
        <rFont val="Aptos Narrow"/>
        <scheme val="minor"/>
      </rPr>
      <t xml:space="preserve">
</t>
    </r>
    <r>
      <rPr>
        <b/>
        <sz val="14"/>
        <color rgb="FF000000"/>
        <rFont val="Aptos Narrow"/>
        <family val="2"/>
        <scheme val="minor"/>
      </rPr>
      <t>1. Number of active vulnerabilities by severity:</t>
    </r>
    <r>
      <rPr>
        <sz val="14"/>
        <color rgb="FF000000"/>
        <rFont val="Aptos Narrow"/>
        <scheme val="minor"/>
      </rPr>
      <t xml:space="preserve">
Calculation: count of records grouped by "Vuln Severity".
Filters: disregard Risk State = ACCEPTED.
Rationale: basic snapshot of the risk liability by severity; starting point for any prioritization.
</t>
    </r>
    <r>
      <rPr>
        <b/>
        <sz val="14"/>
        <color rgb="FF000000"/>
        <rFont val="Aptos Narrow"/>
        <family val="2"/>
        <scheme val="minor"/>
      </rPr>
      <t>2. Number of risk-accepted vulnerabilities by severity:</t>
    </r>
    <r>
      <rPr>
        <sz val="14"/>
        <color rgb="FF000000"/>
        <rFont val="Aptos Narrow"/>
        <scheme val="minor"/>
      </rPr>
      <t xml:space="preserve">
Calculation: count of records grouped by "Vuln Severity", showing only Risk State = ACCEPTED.
Rationale: gives visibility to formally accepted risk (conscious decision vs. silent accumulation) and allows auditing exceptions, especially at high severities.
</t>
    </r>
    <r>
      <rPr>
        <b/>
        <sz val="14"/>
        <color rgb="FF000000"/>
        <rFont val="Aptos Narrow"/>
        <family val="2"/>
        <scheme val="minor"/>
      </rPr>
      <t>3. Average age of active vulnerabilities by severity:</t>
    </r>
    <r>
      <rPr>
        <sz val="14"/>
        <color rgb="FF000000"/>
        <rFont val="Aptos Narrow"/>
        <scheme val="minor"/>
      </rPr>
      <t xml:space="preserve">
Calculation: "Vuln Age-in-days" aggregated by "Vuln Severity". Show mean, median and p90/p95. The average at client/group level is weighted by the volume of vulnerabilities of each department.
Filters: disregard Risk State = ACCEPTED.
Rationale: measures how long the risk has been open; high age at high severities is a direct sign of process failure.
</t>
    </r>
    <r>
      <rPr>
        <b/>
        <sz val="14"/>
        <color rgb="FF000000"/>
        <rFont val="Aptos Narrow"/>
        <family val="2"/>
        <scheme val="minor"/>
      </rPr>
      <t>4. Active vulnerabilities in CISA KEV:</t>
    </r>
    <r>
      <rPr>
        <sz val="14"/>
        <color rgb="FF000000"/>
        <rFont val="Aptos Narrow"/>
        <scheme val="minor"/>
      </rPr>
      <t xml:space="preserve">
Calculation: count and list of records with "On CISA KEV" = true.
Filters: disregard Risk State = ACCEPTED.
Rationale: the KEV catalog gathers vulnerabilities with confirmed active exploitation in the wild. It is the fix-now indicator; it is usually a tiny fraction of the total and therefore highly actionable.
</t>
    </r>
    <r>
      <rPr>
        <b/>
        <sz val="14"/>
        <color rgb="FF000000"/>
        <rFont val="Aptos Narrow"/>
        <family val="2"/>
        <scheme val="minor"/>
      </rPr>
      <t>5. Active vulnerabilities with an available exploit:</t>
    </r>
    <r>
      <rPr>
        <sz val="14"/>
        <color rgb="FF000000"/>
        <rFont val="Aptos Narrow"/>
        <scheme val="minor"/>
      </rPr>
      <t xml:space="preserve">
Calculation: count of records with "Exploit Available" = true, detailed by "Exploit Maturity", "Exploited By Malware" and "Exploited By Nessus".
Filters: disregard Risk State = ACCEPTED.
Rationale: the existence and maturity of an exploit, and use by malware, drastically raise the probability of a real attack, much more discriminating than pure CVSS and VPR severity.
</t>
    </r>
    <r>
      <rPr>
        <b/>
        <sz val="14"/>
        <color rgb="FF000000"/>
        <rFont val="Aptos Narrow"/>
        <family val="2"/>
        <scheme val="minor"/>
      </rPr>
      <t>6. Active vulnerabilities by EPSS band:</t>
    </r>
    <r>
      <rPr>
        <sz val="14"/>
        <color rgb="FF000000"/>
        <rFont val="Aptos Narrow"/>
        <scheme val="minor"/>
      </rPr>
      <t xml:space="preserve">
Calculation: count of records by "EPSS Score" band (e.g.: &gt;= 0.5 / 0.1-0.5 / &lt; 0.1).
Filters: disregard Risk State = ACCEPTED.
Rationale: EPSS estimates the probability of exploitation in the next 30 days; combined with available exploit, it filters out much of the theoretical-severity noise.
</t>
    </r>
    <r>
      <rPr>
        <b/>
        <sz val="14"/>
        <color rgb="FF000000"/>
        <rFont val="Aptos Narrow"/>
        <family val="2"/>
        <scheme val="minor"/>
      </rPr>
      <t>7. Actionable backlog with combined prioritization:</t>
    </r>
    <r>
      <rPr>
        <sz val="14"/>
        <color rgb="FF000000"/>
        <rFont val="Aptos Narrow"/>
        <scheme val="minor"/>
      </rPr>
      <t xml:space="preserve">
Calculation: count and list of vulnerabilities that are "Vuln Severity" = {Critical, High} and ("On CISA KEV" = true or "Exploit Available" = true or high "EPSS Score").
Filters: disregard Risk State = ACCEPTED.
Rationale: isolates the subset that truly requires immediate action. It is small, real and feasible to zero out, the best single number to hold a department accountable for.
</t>
    </r>
    <r>
      <rPr>
        <b/>
        <sz val="14"/>
        <color rgb="FF000000"/>
        <rFont val="Aptos Narrow"/>
        <family val="2"/>
        <scheme val="minor"/>
      </rPr>
      <t xml:space="preserve">8. Percentage of active vulnerabilities within/outside SLA by severity:
</t>
    </r>
    <r>
      <rPr>
        <sz val="14"/>
        <color rgb="FF000000"/>
        <rFont val="Aptos Narrow"/>
        <scheme val="minor"/>
      </rPr>
      <t xml:space="preserve">Calculation: classify each active vulnerability as within/outside SLA by comparing "Vuln Age-in-days" to the SLA of its severity; calculate the percentage in each state.
Filters: disregard Risk State = ACCEPTED.
Rationale: it is the main governance and accountability indicator, measuring deadline discipline, not just volume.
</t>
    </r>
    <r>
      <rPr>
        <b/>
        <sz val="14"/>
        <color rgb="FF000000"/>
        <rFont val="Aptos Narrow"/>
        <family val="2"/>
        <scheme val="minor"/>
      </rPr>
      <t xml:space="preserve">9. Overdue and exploitable active vulnerabilities:
</t>
    </r>
    <r>
      <rPr>
        <sz val="14"/>
        <color rgb="FF000000"/>
        <rFont val="Aptos Narrow"/>
        <scheme val="minor"/>
      </rPr>
      <t xml:space="preserve">Calculation: vulnerabilities outside SLA (8. Percentage of active vulnerabilities within/outside SLA by severity) and ("On CISA KEV" = true or "Exploit Available" = true).
Filters: disregard Risk State = ACCEPTED.
Rationale: the worst possible combination, proven real risk and blown deadline; it should top any action list.
</t>
    </r>
    <r>
      <rPr>
        <b/>
        <sz val="14"/>
        <color rgb="FF000000"/>
        <rFont val="Aptos Narrow"/>
        <family val="2"/>
        <scheme val="minor"/>
      </rPr>
      <t>10. Distinct vulnerabilities vs. instances:</t>
    </r>
    <r>
      <rPr>
        <sz val="14"/>
        <color rgb="FF000000"/>
        <rFont val="Aptos Narrow"/>
        <scheme val="minor"/>
      </rPr>
      <t xml:space="preserve">
Calculation: count of distinct vulnerabilities (by "Vuln Group" or distinct CVEs) vs. count of instances (records = vuln x host).
Filters: disregard Risk State = ACCEPTED.
Rationale: fixing a single vulnerability can resolve hundreds of instances; showing both numbers avoids overestimating the effort and guides prioritization by reach.
</t>
    </r>
    <r>
      <rPr>
        <b/>
        <sz val="14"/>
        <color rgb="FF000000"/>
        <rFont val="Aptos Narrow"/>
        <family val="2"/>
        <scheme val="minor"/>
      </rPr>
      <t>11. Concentration by family / operating system:</t>
    </r>
    <r>
      <rPr>
        <sz val="14"/>
        <color rgb="FF000000"/>
        <rFont val="Aptos Narrow"/>
        <scheme val="minor"/>
      </rPr>
      <t xml:space="preserve">
Calculation: count of active vulnerabilities grouped by "Vuln Family" and by "Server System".
Filters: disregard Risk State = ACCEPTED.
Rationale: reveals patching patterns (e.g.: many outdated Oracle Linux kernels) that enable single patch campaigns instead of item-by-item handling.
</t>
    </r>
    <r>
      <rPr>
        <b/>
        <sz val="14"/>
        <color rgb="FF000000"/>
        <rFont val="Aptos Narrow"/>
        <family val="2"/>
        <scheme val="minor"/>
      </rPr>
      <t>12. New vulnerabilities in the month:</t>
    </r>
    <r>
      <rPr>
        <sz val="14"/>
        <color rgb="FF000000"/>
        <rFont val="Aptos Narrow"/>
        <scheme val="minor"/>
      </rPr>
      <t xml:space="preserve">
Calculation: count of records whose "First Seen" falls within the reference month ("Reference Month" / "Reference Year"), by severity.
Filters: disregard Risk State = ACCEPTED.
Rationale: measures the inflow of risk.</t>
    </r>
  </si>
  <si>
    <r>
      <t xml:space="preserve">Data is stored in the </t>
    </r>
    <r>
      <rPr>
        <b/>
        <sz val="14"/>
        <color rgb="FF000000"/>
        <rFont val="Aptos Narrow"/>
        <family val="2"/>
        <scheme val="minor"/>
      </rPr>
      <t>Raw</t>
    </r>
    <r>
      <rPr>
        <sz val="14"/>
        <color rgb="FF000000"/>
        <rFont val="Aptos Narrow"/>
        <family val="2"/>
        <scheme val="minor"/>
      </rPr>
      <t xml:space="preserve"> layer, containing the data extracted directly from the described API endpoint, without any transformation, fully preserving the data.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CYBER/ExampleCorp/Raw/VULN_SCANNER/YYYY-MM-DD/Assets/Assets.json</t>
    </r>
    <r>
      <rPr>
        <sz val="14"/>
        <color rgb="FF000000"/>
        <rFont val="Aptos Narrow"/>
        <family val="2"/>
        <scheme val="minor"/>
      </rPr>
      <t xml:space="preserve">
This organization ensures temporal traceability, ingestion standardization, and ease of auditing of the protected-server inventory data.</t>
    </r>
  </si>
  <si>
    <r>
      <t xml:space="preserve">Data is stored in the </t>
    </r>
    <r>
      <rPr>
        <b/>
        <sz val="14"/>
        <color rgb="FF000000"/>
        <rFont val="Aptos Narrow"/>
        <family val="2"/>
        <scheme val="minor"/>
      </rPr>
      <t>Raw</t>
    </r>
    <r>
      <rPr>
        <sz val="14"/>
        <color rgb="FF000000"/>
        <rFont val="Aptos Narrow"/>
        <family val="2"/>
        <scheme val="minor"/>
      </rPr>
      <t xml:space="preserve"> layer, containing the data extracted directly from the described API endpoint.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CYBER/ExampleCorp/Raw/VULN_SCANNER/YYYY-MM-DD/Vulns/ActiveVulns.json</t>
    </r>
    <r>
      <rPr>
        <sz val="14"/>
        <color rgb="FF000000"/>
        <rFont val="Aptos Narrow"/>
        <family val="2"/>
        <scheme val="minor"/>
      </rPr>
      <t xml:space="preserve">
This organization ensures temporal traceability, ingestion standardization, and ease of auditing of the protected-server inventory data.</t>
    </r>
  </si>
  <si>
    <r>
      <t xml:space="preserve">Data is stored in the </t>
    </r>
    <r>
      <rPr>
        <b/>
        <sz val="14"/>
        <color rgb="FF000000"/>
        <rFont val="Aptos Narrow"/>
        <family val="2"/>
        <scheme val="minor"/>
      </rPr>
      <t>Raw</t>
    </r>
    <r>
      <rPr>
        <sz val="14"/>
        <color rgb="FF000000"/>
        <rFont val="Aptos Narrow"/>
        <family val="2"/>
        <scheme val="minor"/>
      </rPr>
      <t xml:space="preserve"> layer, containing the data extracted directly from the described API endpoint.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CYBER/ExampleCorp/Raw/VULN_SCANNER/YYYY-MM-DD/Vulns/FixedVulns.json</t>
    </r>
    <r>
      <rPr>
        <sz val="14"/>
        <color rgb="FF000000"/>
        <rFont val="Aptos Narrow"/>
        <family val="2"/>
        <scheme val="minor"/>
      </rPr>
      <t xml:space="preserve">
Note: The date in the path refers to the collection run date, whose data reflects the previous calendar month.
This organization ensures temporal traceability, ingestion standardization, and ease of auditing of the protected-server inventory data.</t>
    </r>
  </si>
  <si>
    <r>
      <t xml:space="preserve">Data is stored in the </t>
    </r>
    <r>
      <rPr>
        <b/>
        <sz val="14"/>
        <color rgb="FF000000"/>
        <rFont val="Aptos Narrow"/>
        <family val="2"/>
        <scheme val="minor"/>
      </rPr>
      <t>Raw</t>
    </r>
    <r>
      <rPr>
        <sz val="14"/>
        <color rgb="FF000000"/>
        <rFont val="Aptos Narrow"/>
        <family val="2"/>
        <scheme val="minor"/>
      </rPr>
      <t xml:space="preserve"> layer, containing the data extracted directly from the described API endpoint, without any transformation, fully preserving the data.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CYBER/ExampleCorp/Raw/VIRTUALIZATION/YYYY-MM-DD/Assets/Assets.json</t>
    </r>
    <r>
      <rPr>
        <sz val="14"/>
        <color rgb="FF000000"/>
        <rFont val="Aptos Narrow"/>
        <family val="2"/>
        <scheme val="minor"/>
      </rPr>
      <t xml:space="preserve">
This organization ensures temporal traceability, ingestion standardization, and ease of auditing of the protected-server inventory data.</t>
    </r>
  </si>
  <si>
    <r>
      <t xml:space="preserve">Data is stored in the </t>
    </r>
    <r>
      <rPr>
        <b/>
        <sz val="14"/>
        <color rgb="FF000000"/>
        <rFont val="Aptos Narrow"/>
        <family val="2"/>
        <scheme val="minor"/>
      </rPr>
      <t>Raw</t>
    </r>
    <r>
      <rPr>
        <sz val="14"/>
        <color rgb="FF000000"/>
        <rFont val="Aptos Narrow"/>
        <family val="2"/>
        <scheme val="minor"/>
      </rPr>
      <t xml:space="preserve"> layer, containing the data extracted directly from the described API endpoint, without any transformation, fully preserving the data.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CYBER/ExampleCorp/Raw/EDR_PLATFORM/YYYY-MM-DD/USB/DevicePolicies.json</t>
    </r>
    <r>
      <rPr>
        <sz val="14"/>
        <color rgb="FF000000"/>
        <rFont val="Aptos Narrow"/>
        <family val="2"/>
        <scheme val="minor"/>
      </rPr>
      <t xml:space="preserve">
This organization ensures temporal traceability, ingestion standardization, and ease of auditing of the protected-server inventory data.</t>
    </r>
  </si>
  <si>
    <r>
      <t xml:space="preserve">Data is stored in the </t>
    </r>
    <r>
      <rPr>
        <b/>
        <sz val="14"/>
        <color rgb="FF000000"/>
        <rFont val="Aptos Narrow"/>
        <family val="2"/>
        <scheme val="minor"/>
      </rPr>
      <t>Raw</t>
    </r>
    <r>
      <rPr>
        <sz val="14"/>
        <color rgb="FF000000"/>
        <rFont val="Aptos Narrow"/>
        <family val="2"/>
        <scheme val="minor"/>
      </rPr>
      <t xml:space="preserve"> layer, containing the data extracted directly from the described API endpoint, without any transformation, fully preserving the data.
The data is organized following the standard naming convention. In addition, temporal segregation by collection period must be maintained, using the YYYY-MM-DD naming convention, according to the frequency defined by the business. The following pattern must be used:
</t>
    </r>
    <r>
      <rPr>
        <b/>
        <sz val="14"/>
        <color rgb="FF000000"/>
        <rFont val="Aptos Narrow"/>
        <family val="2"/>
        <scheme val="minor"/>
      </rPr>
      <t>CYBER/ExampleCorp/Raw/EDR_PLATFORM/YYYY-MM-DD/USB/DeviceUsage.json</t>
    </r>
    <r>
      <rPr>
        <sz val="14"/>
        <color rgb="FF000000"/>
        <rFont val="Aptos Narrow"/>
        <family val="2"/>
        <scheme val="minor"/>
      </rPr>
      <t xml:space="preserve">
This organization ensures temporal traceability, ingestion standardization, and ease of auditing of the protected-server inventory data.</t>
    </r>
  </si>
  <si>
    <r>
      <t xml:space="preserve">The Data Science team is responsible for running the routine that queries the described endpoint, applying the required filters, and storing the data in the Raw layer of the Data Lake.
</t>
    </r>
    <r>
      <rPr>
        <b/>
        <sz val="14"/>
        <color theme="1"/>
        <rFont val="Aptos Narrow"/>
        <family val="2"/>
        <scheme val="minor"/>
      </rPr>
      <t>Note</t>
    </r>
    <r>
      <rPr>
        <sz val="14"/>
        <color theme="1"/>
        <rFont val="Aptos Narrow"/>
        <family val="2"/>
        <scheme val="minor"/>
      </rPr>
      <t>: Two endpoints are required for the extraction. The first runs the query and the second retrieves the query result.</t>
    </r>
  </si>
  <si>
    <r>
      <t xml:space="preserve">The Data Science team is responsible for running the routine that queries the described endpoint, applying the required filters, and storing the data in the Raw layer of the Data Lake.
</t>
    </r>
    <r>
      <rPr>
        <b/>
        <sz val="14"/>
        <color theme="1"/>
        <rFont val="Aptos Narrow"/>
        <family val="2"/>
        <scheme val="minor"/>
      </rPr>
      <t>Note</t>
    </r>
    <r>
      <rPr>
        <sz val="14"/>
        <color theme="1"/>
        <rFont val="Aptos Narrow"/>
        <family val="2"/>
        <scheme val="minor"/>
      </rPr>
      <t>: Two endpoints are required for the extraction. The first queries the ids and the second retrieves the result for those ids.</t>
    </r>
  </si>
  <si>
    <r>
      <t>Search for hosts matching the following conditions:
- is_</t>
    </r>
    <r>
      <rPr>
        <b/>
        <sz val="14"/>
        <color theme="1"/>
        <rFont val="Aptos Narrow"/>
        <family val="2"/>
        <scheme val="minor"/>
      </rPr>
      <t>template</t>
    </r>
    <r>
      <rPr>
        <sz val="14"/>
        <color theme="1"/>
        <rFont val="Aptos Narrow"/>
        <family val="2"/>
        <scheme val="minor"/>
      </rPr>
      <t>: False</t>
    </r>
  </si>
  <si>
    <r>
      <t xml:space="preserve">Search for fixed vulnerabilities matching the following conditions:
- </t>
    </r>
    <r>
      <rPr>
        <b/>
        <sz val="14"/>
        <color theme="1"/>
        <rFont val="Aptos Narrow"/>
        <family val="2"/>
        <scheme val="minor"/>
      </rPr>
      <t>severity</t>
    </r>
    <r>
      <rPr>
        <sz val="14"/>
        <color theme="1"/>
        <rFont val="Aptos Narrow"/>
        <family val="2"/>
        <scheme val="minor"/>
      </rPr>
      <t xml:space="preserve">: ["low", "medium", "high", "critical"]
- </t>
    </r>
    <r>
      <rPr>
        <b/>
        <sz val="14"/>
        <color theme="1"/>
        <rFont val="Aptos Narrow"/>
        <family val="2"/>
        <scheme val="minor"/>
      </rPr>
      <t>source</t>
    </r>
    <r>
      <rPr>
        <sz val="14"/>
        <color theme="1"/>
        <rFont val="Aptos Narrow"/>
        <family val="2"/>
        <scheme val="minor"/>
      </rPr>
      <t xml:space="preserve">: ["AGENT", "NESSUS"]
- </t>
    </r>
    <r>
      <rPr>
        <b/>
        <sz val="14"/>
        <color theme="1"/>
        <rFont val="Aptos Narrow"/>
        <family val="2"/>
        <scheme val="minor"/>
      </rPr>
      <t>state</t>
    </r>
    <r>
      <rPr>
        <sz val="14"/>
        <color theme="1"/>
        <rFont val="Aptos Narrow"/>
        <family val="2"/>
        <scheme val="minor"/>
      </rPr>
      <t xml:space="preserve">: ["FIXED"]
- </t>
    </r>
    <r>
      <rPr>
        <b/>
        <sz val="14"/>
        <color theme="1"/>
        <rFont val="Aptos Narrow"/>
        <family val="2"/>
        <scheme val="minor"/>
      </rPr>
      <t>last_fixed</t>
    </r>
    <r>
      <rPr>
        <sz val="14"/>
        <color theme="1"/>
        <rFont val="Aptos Narrow"/>
        <family val="2"/>
        <scheme val="minor"/>
      </rPr>
      <t xml:space="preserve">: fixed in the previous month.
- </t>
    </r>
    <r>
      <rPr>
        <b/>
        <sz val="14"/>
        <color theme="1"/>
        <rFont val="Aptos Narrow"/>
        <family val="2"/>
        <scheme val="minor"/>
      </rPr>
      <t>adopt_existing</t>
    </r>
    <r>
      <rPr>
        <sz val="14"/>
        <color theme="1"/>
        <rFont val="Aptos Narrow"/>
        <family val="2"/>
        <scheme val="minor"/>
      </rPr>
      <t>: False</t>
    </r>
  </si>
  <si>
    <r>
      <t xml:space="preserve">Search for active vulnerabilities matching the following conditions:
- </t>
    </r>
    <r>
      <rPr>
        <b/>
        <sz val="14"/>
        <color theme="1"/>
        <rFont val="Aptos Narrow"/>
        <family val="2"/>
        <scheme val="minor"/>
      </rPr>
      <t>severity</t>
    </r>
    <r>
      <rPr>
        <sz val="14"/>
        <color theme="1"/>
        <rFont val="Aptos Narrow"/>
        <family val="2"/>
        <scheme val="minor"/>
      </rPr>
      <t xml:space="preserve">: ["low", "medium", "high", "critical"]
- </t>
    </r>
    <r>
      <rPr>
        <b/>
        <sz val="14"/>
        <color theme="1"/>
        <rFont val="Aptos Narrow"/>
        <family val="2"/>
        <scheme val="minor"/>
      </rPr>
      <t>source</t>
    </r>
    <r>
      <rPr>
        <sz val="14"/>
        <color theme="1"/>
        <rFont val="Aptos Narrow"/>
        <family val="2"/>
        <scheme val="minor"/>
      </rPr>
      <t xml:space="preserve">: ["AGENT", "NESSUS"]
- </t>
    </r>
    <r>
      <rPr>
        <b/>
        <sz val="14"/>
        <color theme="1"/>
        <rFont val="Aptos Narrow"/>
        <family val="2"/>
        <scheme val="minor"/>
      </rPr>
      <t>state</t>
    </r>
    <r>
      <rPr>
        <sz val="14"/>
        <color theme="1"/>
        <rFont val="Aptos Narrow"/>
        <family val="2"/>
        <scheme val="minor"/>
      </rPr>
      <t>: ["OPEN", "REOPENED"]
-</t>
    </r>
    <r>
      <rPr>
        <b/>
        <sz val="14"/>
        <color theme="1"/>
        <rFont val="Aptos Narrow"/>
        <family val="2"/>
        <scheme val="minor"/>
      </rPr>
      <t xml:space="preserve"> adopt_existing:</t>
    </r>
    <r>
      <rPr>
        <sz val="14"/>
        <color theme="1"/>
        <rFont val="Aptos Narrow"/>
        <family val="2"/>
        <scheme val="minor"/>
      </rPr>
      <t xml:space="preserve"> False</t>
    </r>
  </si>
  <si>
    <r>
      <t xml:space="preserve">Search for hosts matching the following conditions:
- </t>
    </r>
    <r>
      <rPr>
        <b/>
        <sz val="14"/>
        <color theme="1"/>
        <rFont val="Aptos Narrow"/>
        <family val="2"/>
        <scheme val="minor"/>
      </rPr>
      <t>source</t>
    </r>
    <r>
      <rPr>
        <sz val="14"/>
        <color theme="1"/>
        <rFont val="Aptos Narrow"/>
        <family val="2"/>
        <scheme val="minor"/>
      </rPr>
      <t>: "NESSUS_AGENT" or "NESSUS_SCAN"</t>
    </r>
  </si>
  <si>
    <r>
      <t xml:space="preserve">Run a query to meet the following conditions:
- </t>
    </r>
    <r>
      <rPr>
        <b/>
        <sz val="14"/>
        <color theme="1"/>
        <rFont val="Aptos Narrow"/>
        <family val="2"/>
        <scheme val="minor"/>
      </rPr>
      <t>repository</t>
    </r>
    <r>
      <rPr>
        <sz val="14"/>
        <color theme="1"/>
        <rFont val="Aptos Narrow"/>
        <family val="2"/>
        <scheme val="minor"/>
      </rPr>
      <t xml:space="preserve">: "search-all"
- </t>
    </r>
    <r>
      <rPr>
        <b/>
        <sz val="14"/>
        <color theme="1"/>
        <rFont val="Aptos Narrow"/>
        <family val="2"/>
        <scheme val="minor"/>
      </rPr>
      <t>start</t>
    </r>
    <r>
      <rPr>
        <sz val="14"/>
        <color theme="1"/>
        <rFont val="Aptos Narrow"/>
        <family val="2"/>
        <scheme val="minor"/>
      </rPr>
      <t xml:space="preserve">: "-7d"
- </t>
    </r>
    <r>
      <rPr>
        <b/>
        <sz val="14"/>
        <color theme="1"/>
        <rFont val="Aptos Narrow"/>
        <family val="2"/>
        <scheme val="minor"/>
      </rPr>
      <t>end</t>
    </r>
    <r>
      <rPr>
        <sz val="14"/>
        <color theme="1"/>
        <rFont val="Aptos Narrow"/>
        <family val="2"/>
        <scheme val="minor"/>
      </rPr>
      <t xml:space="preserve">: "0d"
- </t>
    </r>
    <r>
      <rPr>
        <b/>
        <sz val="14"/>
        <color theme="1"/>
        <rFont val="Aptos Narrow"/>
        <family val="2"/>
        <scheme val="minor"/>
      </rPr>
      <t>query_string:</t>
    </r>
    <r>
      <rPr>
        <sz val="14"/>
        <color theme="1"/>
        <rFont val="Aptos Narrow"/>
        <family val="2"/>
        <scheme val="minor"/>
      </rPr>
      <t xml:space="preserve"> 
"#repo=base_sensor | in(#event_simpleName, values=[DcUsbDeviceConnected, DcUsbDevicePolicyViolation, DcUsbDeviceBlocked, DcRemovableStorageDeviceConnected, DcRemovableStorageDevicePolicyViolation, DcRemovableStorageDeviceBlocked]) | default(field=[DeviceManufacturer, DeviceProduct, DeviceSerialNumber], value="--", replaceEmpty=true) | case { #event_simpleName=DcUsb* | ConnectionType := "USB"; #event_simpleName=DcRemovableStorage* AND event_platform="Mac" | ConnectionType := "PCIe" | DeviceClass := "Mass Storage"; #event_simpleName=DcRemovableStorage* AND event_platform="Win" | ConnectionType := "Storage spaces" | DeviceClass := "Mass Storage"; } | join({ #repo=sensor_metadata #data_source_name=dcusbinterfacedescriptor-ds | groupBy(DeviceDescriptorSetHash, function=collect(DeviceUsbClass, separator=" | "), limit=max) }, field=DeviceDescriptorSetHash, include=[DeviceUsbClass], mode=left) | $falcon/devicecontrol:DCFriendlyPolicyAction() | DeviceId := format(format="%s_%s_%s", field=[DeviceVendorId, DeviceProductId, DeviceSerialNumber]) | case { ConnectionType = "PCIe" | case { event_platform=Mac | Device := format(format="%s %s (S/N: %s)", field=[DeviceManufacturer, DeviceProduct, DeviceSerialNumber]); event_platform=Win | Device := "SD card reader"; *; }; ConnectionType = "USB" | Device := format(format="%s %s (S/N: %s)", field=[DeviceManufacturer, DeviceProduct, DeviceSerialNumber]); *; } | case { ConnectionType = "USB" | default(field=DeviceUsbClass, value="No class", replaceEmpty=true) | DeviceClass := rename(DeviceUsbClass); *; } | groupBy([aid, DeviceInstanceId], function=[session(maxpause=10s, [collect([Device, ConnectionType, DeviceVendorId, DeviceProductId, DeviceSerialNumber, DeviceId, DeviceClass, ComputerName, event_platform]), selectLast([@timestamp, DcPolicyAction])])], limit=max) | default(field=[ComputerName], value="--", replaceEmpty=true) | DeviceClass=/Mass Storage|No class|Mobile|Printer/i | Date := formatTime("%Y-%m-%d %H:%M:%S", field=@timestamp, locale="pt_BR", timezone="America/Sao_Paulo") | table([Date, Device, DeviceVendorId, DeviceProductId, DeviceSerialNumber, DeviceId, ConnectionType, DcPolicyAction, DeviceClass, ComputerName, event_platform], sortby=@timestamp, order=desc, limit=max)"</t>
    </r>
  </si>
  <si>
    <t>TENABLE</t>
  </si>
  <si>
    <t>CROWDSTRIKE</t>
  </si>
  <si>
    <t>INVENTORY</t>
  </si>
  <si>
    <t>VLIT</t>
  </si>
  <si>
    <t>WAZUH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</si>
</sst>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mmmm\ d\,\ yyyy;@"/>
  </numFmts>
  <fonts count="25" x14ac:knownFonts="1">
    <font>
      <sz val="11"/>
      <color theme="1"/>
      <name val="Aptos Narrow"/>
      <family val="2"/>
      <scheme val="minor"/>
    </font>
    <font>
      <b/>
      <sz val="11"/>
      <color theme="1"/>
      <name val="Aptos Narrow"/>
      <family val="2"/>
      <scheme val="minor"/>
    </font>
    <font>
      <sz val="32"/>
      <color theme="0"/>
      <name val="Abadi ExtraLight"/>
      <family val="2"/>
    </font>
    <font>
      <sz val="14"/>
      <color theme="0"/>
      <name val="Aptos Narrow"/>
      <family val="2"/>
      <scheme val="minor"/>
    </font>
    <font>
      <b/>
      <sz val="16"/>
      <color theme="0"/>
      <name val="Aptos Narrow"/>
      <family val="2"/>
      <scheme val="minor"/>
    </font>
    <font>
      <b/>
      <sz val="16"/>
      <color rgb="FFF45555"/>
      <name val="Aptos Narrow"/>
      <family val="2"/>
      <scheme val="minor"/>
    </font>
    <font>
      <b/>
      <sz val="16"/>
      <color theme="7" tint="0.59999389629810485"/>
      <name val="Aptos Narrow"/>
      <family val="2"/>
      <scheme val="minor"/>
    </font>
    <font>
      <b/>
      <sz val="16"/>
      <color theme="3" tint="0.749992370372631"/>
      <name val="Aptos Narrow"/>
      <family val="2"/>
      <scheme val="minor"/>
    </font>
    <font>
      <b/>
      <sz val="16"/>
      <color rgb="FFFF4242"/>
      <name val="Aptos Narrow"/>
      <family val="2"/>
      <scheme val="minor"/>
    </font>
    <font>
      <b/>
      <sz val="16"/>
      <color rgb="FFFFE265"/>
      <name val="Aptos Narrow"/>
      <family val="2"/>
      <scheme val="minor"/>
    </font>
    <font>
      <b/>
      <sz val="16"/>
      <color theme="8" tint="0.79998168889431442"/>
      <name val="Aptos Narrow"/>
      <family val="2"/>
      <scheme val="minor"/>
    </font>
    <font>
      <sz val="14"/>
      <color theme="1"/>
      <name val="Aptos Narrow"/>
      <family val="2"/>
      <scheme val="minor"/>
    </font>
    <font>
      <sz val="14"/>
      <color rgb="FF000000"/>
      <name val="Aptos Narrow"/>
      <family val="2"/>
      <scheme val="minor"/>
    </font>
    <font>
      <b/>
      <sz val="14"/>
      <color rgb="FF000000"/>
      <name val="Aptos Narrow"/>
      <family val="2"/>
      <scheme val="minor"/>
    </font>
    <font>
      <b/>
      <sz val="14"/>
      <color theme="1"/>
      <name val="Aptos Narrow"/>
      <family val="2"/>
      <scheme val="minor"/>
    </font>
    <font>
      <b/>
      <sz val="14"/>
      <color theme="9" tint="0.39997558519241921"/>
      <name val="Aptos Narrow"/>
      <family val="2"/>
      <scheme val="minor"/>
    </font>
    <font>
      <sz val="14"/>
      <color rgb="FF000000"/>
      <name val="Aptos Narrow"/>
      <scheme val="minor"/>
    </font>
    <font>
      <b/>
      <sz val="14"/>
      <color rgb="FF000000"/>
      <name val="Aptos Narrow"/>
      <scheme val="minor"/>
    </font>
    <font>
      <sz val="14"/>
      <color rgb="FFEBE542"/>
      <name val="Aptos Narrow"/>
      <family val="2"/>
      <scheme val="minor"/>
    </font>
    <font>
      <sz val="32"/>
      <color theme="0"/>
      <name val="Abadi ExtraLight"/>
    </font>
    <font>
      <sz val="11"/>
      <name val="Aptos Narrow"/>
      <family val="2"/>
      <scheme val="minor"/>
    </font>
    <font>
      <b/>
      <sz val="14"/>
      <color theme="0"/>
      <name val="Aptos Narrow"/>
      <family val="2"/>
      <scheme val="minor"/>
    </font>
    <font>
      <b/>
      <sz val="11"/>
      <name val="Aptos Narrow"/>
      <family val="2"/>
      <scheme val="minor"/>
    </font>
    <font>
      <i/>
      <sz val="16"/>
      <color theme="0"/>
      <name val="Aptos Narrow"/>
      <family val="2"/>
      <scheme val="minor"/>
    </font>
    <font>
      <i/>
      <sz val="14"/>
      <color rgb="FF000000"/>
      <name val="Aptos Narrow"/>
      <family val="2"/>
      <scheme val="minor"/>
    </font>
  </fonts>
  <fills count="10">
    <fill>
      <patternFill patternType="none"/>
    </fill>
    <fill>
      <patternFill patternType="gray125"/>
    </fill>
    <fill>
      <patternFill patternType="solid">
        <fgColor theme="1" tint="0.14999847407452621"/>
        <bgColor indexed="64"/>
      </patternFill>
    </fill>
    <fill>
      <patternFill patternType="solid">
        <fgColor theme="4" tint="-0.499984740745262"/>
        <bgColor indexed="64"/>
      </patternFill>
    </fill>
    <fill>
      <patternFill patternType="solid">
        <fgColor theme="1" tint="0.249977111117893"/>
        <bgColor indexed="64"/>
      </patternFill>
    </fill>
    <fill>
      <patternFill patternType="solid">
        <fgColor rgb="FF501000"/>
        <bgColor indexed="64"/>
      </patternFill>
    </fill>
    <fill>
      <patternFill patternType="solid">
        <fgColor theme="0" tint="-0.14999847407452621"/>
        <bgColor indexed="64"/>
      </patternFill>
    </fill>
    <fill>
      <patternFill patternType="solid">
        <fgColor rgb="FFFFFAD9"/>
        <bgColor indexed="64"/>
      </patternFill>
    </fill>
    <fill>
      <patternFill patternType="solid">
        <fgColor theme="6" tint="-0.49998474074526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9">
    <xf numFmtId="0" fontId="0" fillId="0" borderId="0" xfId="0"/>
    <xf numFmtId="0" fontId="3" fillId="2" borderId="1" xfId="0" applyFont="1" applyFill="1" applyBorder="1" applyAlignment="1">
      <alignment vertical="center" wrapText="1"/>
    </xf>
    <xf numFmtId="0" fontId="3" fillId="2" borderId="1" xfId="0" applyFont="1" applyFill="1" applyBorder="1" applyAlignment="1">
      <alignment vertical="center"/>
    </xf>
    <xf numFmtId="0" fontId="0" fillId="0" borderId="0" xfId="0" applyAlignment="1">
      <alignment vertical="top"/>
    </xf>
    <xf numFmtId="0" fontId="0" fillId="0" borderId="0" xfId="0" applyAlignment="1">
      <alignment vertical="top" wrapText="1"/>
    </xf>
    <xf numFmtId="0" fontId="4" fillId="4" borderId="1" xfId="0" applyFont="1" applyFill="1" applyBorder="1" applyAlignment="1">
      <alignment vertical="top"/>
    </xf>
    <xf numFmtId="0" fontId="11" fillId="6" borderId="1" xfId="0" applyFont="1" applyFill="1" applyBorder="1" applyAlignment="1">
      <alignment vertical="top" wrapText="1"/>
    </xf>
    <xf numFmtId="0" fontId="12" fillId="6" borderId="1" xfId="0" applyFont="1" applyFill="1" applyBorder="1" applyAlignment="1">
      <alignment vertical="top" wrapText="1"/>
    </xf>
    <xf numFmtId="0" fontId="11" fillId="6" borderId="1" xfId="0" applyFont="1" applyFill="1" applyBorder="1" applyAlignment="1">
      <alignment vertical="top"/>
    </xf>
    <xf numFmtId="0" fontId="14" fillId="6" borderId="1" xfId="0" applyFont="1" applyFill="1" applyBorder="1" applyAlignment="1">
      <alignment vertical="top" wrapText="1"/>
    </xf>
    <xf numFmtId="0" fontId="14" fillId="6" borderId="1" xfId="0" applyFont="1" applyFill="1" applyBorder="1" applyAlignment="1">
      <alignment vertical="top"/>
    </xf>
    <xf numFmtId="0" fontId="12" fillId="0" borderId="1" xfId="0" applyFont="1" applyBorder="1" applyAlignment="1">
      <alignment vertical="top" wrapText="1"/>
    </xf>
    <xf numFmtId="0" fontId="18" fillId="2" borderId="1" xfId="0" applyFont="1" applyFill="1" applyBorder="1" applyAlignment="1">
      <alignment vertical="center" wrapText="1"/>
    </xf>
    <xf numFmtId="0" fontId="2" fillId="0" borderId="0" xfId="0" applyFont="1" applyAlignment="1">
      <alignment vertical="center" wrapText="1"/>
    </xf>
    <xf numFmtId="0" fontId="3" fillId="2" borderId="3" xfId="0" applyFont="1" applyFill="1" applyBorder="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4" fillId="4" borderId="4" xfId="0" applyFont="1" applyFill="1" applyBorder="1" applyAlignment="1">
      <alignment vertical="top"/>
    </xf>
    <xf numFmtId="0" fontId="18" fillId="0" borderId="0" xfId="0" applyFont="1" applyAlignment="1">
      <alignment vertical="center" wrapText="1"/>
    </xf>
    <xf numFmtId="0" fontId="11" fillId="0" borderId="1" xfId="0" applyFont="1" applyBorder="1" applyAlignment="1">
      <alignment vertical="top" wrapText="1"/>
    </xf>
    <xf numFmtId="0" fontId="13" fillId="0" borderId="1" xfId="0" applyFont="1" applyBorder="1" applyAlignment="1">
      <alignment vertical="top" wrapText="1"/>
    </xf>
    <xf numFmtId="0" fontId="4" fillId="4" borderId="4" xfId="0" applyFont="1" applyFill="1" applyBorder="1" applyAlignment="1">
      <alignment vertical="top" wrapText="1"/>
    </xf>
    <xf numFmtId="0" fontId="4" fillId="4" borderId="0" xfId="0" applyFont="1" applyFill="1" applyAlignment="1">
      <alignment vertical="top" wrapText="1"/>
    </xf>
    <xf numFmtId="0" fontId="21" fillId="0" borderId="0" xfId="0" applyFont="1" applyAlignment="1">
      <alignment vertical="center" wrapText="1"/>
    </xf>
    <xf numFmtId="0" fontId="13" fillId="6" borderId="1" xfId="0" applyFont="1" applyFill="1" applyBorder="1" applyAlignment="1">
      <alignment vertical="top" wrapText="1"/>
    </xf>
    <xf numFmtId="0" fontId="1" fillId="0" borderId="0" xfId="0" applyFont="1" applyAlignment="1">
      <alignment vertical="top" wrapText="1"/>
    </xf>
    <xf numFmtId="0" fontId="20" fillId="9" borderId="1" xfId="0" applyFont="1" applyFill="1" applyBorder="1" applyAlignment="1">
      <alignment vertical="top" wrapText="1"/>
    </xf>
    <xf numFmtId="0" fontId="22" fillId="9" borderId="1" xfId="0" applyFont="1" applyFill="1" applyBorder="1" applyAlignment="1">
      <alignment vertical="top" wrapText="1"/>
    </xf>
    <xf numFmtId="0" fontId="20" fillId="9" borderId="1" xfId="0" applyFont="1" applyFill="1" applyBorder="1" applyAlignment="1">
      <alignment vertical="top"/>
    </xf>
    <xf numFmtId="0" fontId="16" fillId="7" borderId="1" xfId="0" applyFont="1" applyFill="1" applyBorder="1" applyAlignment="1">
      <alignment vertical="top" wrapText="1"/>
    </xf>
    <xf numFmtId="165" fontId="3" fillId="2" borderId="1" xfId="0" applyNumberFormat="1" applyFont="1" applyFill="1" applyBorder="1" applyAlignment="1">
      <alignment horizontal="left" vertical="center" wrapText="1"/>
    </xf>
    <xf numFmtId="165" fontId="3" fillId="0" borderId="0" xfId="0" applyNumberFormat="1" applyFont="1" applyAlignment="1">
      <alignment horizontal="left" vertical="center" wrapText="1"/>
    </xf>
    <xf numFmtId="165" fontId="11" fillId="6" borderId="1" xfId="0" applyNumberFormat="1" applyFont="1" applyFill="1" applyBorder="1" applyAlignment="1">
      <alignment horizontal="left" vertical="top" wrapText="1"/>
    </xf>
    <xf numFmtId="165" fontId="12" fillId="6" borderId="1" xfId="0" applyNumberFormat="1" applyFont="1" applyFill="1" applyBorder="1" applyAlignment="1">
      <alignment horizontal="left" vertical="top" wrapText="1"/>
    </xf>
    <xf numFmtId="165" fontId="20" fillId="9" borderId="1" xfId="0" applyNumberFormat="1" applyFont="1" applyFill="1" applyBorder="1" applyAlignment="1">
      <alignment horizontal="left" vertical="top" wrapText="1"/>
    </xf>
    <xf numFmtId="165" fontId="14" fillId="6" borderId="1" xfId="0" applyNumberFormat="1" applyFont="1" applyFill="1" applyBorder="1" applyAlignment="1">
      <alignment horizontal="left" vertical="top" wrapText="1"/>
    </xf>
    <xf numFmtId="165" fontId="0" fillId="0" borderId="0" xfId="0" applyNumberFormat="1" applyAlignment="1">
      <alignment horizontal="left" vertical="top" wrapText="1"/>
    </xf>
    <xf numFmtId="165" fontId="12" fillId="0" borderId="1" xfId="0" applyNumberFormat="1" applyFont="1" applyBorder="1" applyAlignment="1">
      <alignment horizontal="left" vertical="top" wrapText="1"/>
    </xf>
    <xf numFmtId="0" fontId="12" fillId="7" borderId="1" xfId="0" applyFont="1" applyFill="1" applyBorder="1" applyAlignment="1">
      <alignment vertical="top" wrapText="1"/>
    </xf>
    <xf numFmtId="165" fontId="3" fillId="2" borderId="1" xfId="0" applyNumberFormat="1" applyFont="1" applyFill="1" applyBorder="1" applyAlignment="1">
      <alignment vertical="center"/>
    </xf>
    <xf numFmtId="165" fontId="3" fillId="0" borderId="0" xfId="0" applyNumberFormat="1" applyFont="1" applyAlignment="1">
      <alignment vertical="center"/>
    </xf>
    <xf numFmtId="165" fontId="0" fillId="0" borderId="0" xfId="0" applyNumberFormat="1" applyAlignment="1">
      <alignment vertical="top" wrapText="1"/>
    </xf>
    <xf numFmtId="0" fontId="0" fillId="0" borderId="0" xfId="0" applyAlignment="1">
      <alignment horizontal="center" vertical="top" wrapText="1"/>
    </xf>
    <xf numFmtId="0" fontId="15" fillId="4" borderId="1" xfId="0" applyFont="1" applyFill="1" applyBorder="1" applyAlignment="1">
      <alignment horizontal="left" vertical="top" wrapText="1"/>
    </xf>
    <xf numFmtId="0" fontId="11" fillId="0" borderId="0" xfId="0" applyFont="1" applyAlignment="1">
      <alignment horizontal="center" vertical="top"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5"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0" fillId="0" borderId="0" xfId="0" applyAlignment="1">
      <alignment horizontal="center" vertical="center" wrapText="1"/>
    </xf>
    <xf numFmtId="0" fontId="10"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1" fillId="0" borderId="0" xfId="0" applyFont="1" applyAlignment="1">
      <alignment horizontal="center" vertical="top" wrapText="1"/>
    </xf>
    <xf numFmtId="0" fontId="9" fillId="4" borderId="1" xfId="0" applyFont="1" applyFill="1" applyBorder="1" applyAlignment="1">
      <alignment horizontal="left" vertical="top" wrapText="1"/>
    </xf>
    <xf numFmtId="164" fontId="2" fillId="3" borderId="2" xfId="0" applyNumberFormat="1" applyFont="1" applyFill="1" applyBorder="1" applyAlignment="1">
      <alignment horizontal="left" vertical="center" wrapText="1"/>
    </xf>
    <xf numFmtId="164" fontId="19" fillId="3" borderId="0" xfId="0" applyNumberFormat="1" applyFont="1" applyFill="1" applyAlignment="1">
      <alignment horizontal="left" vertical="center" wrapText="1"/>
    </xf>
    <xf numFmtId="164" fontId="2" fillId="8" borderId="2" xfId="0" applyNumberFormat="1" applyFont="1" applyFill="1" applyBorder="1" applyAlignment="1">
      <alignment horizontal="left" vertical="center" wrapText="1"/>
    </xf>
    <xf numFmtId="164" fontId="19" fillId="8" borderId="0" xfId="0" applyNumberFormat="1" applyFont="1" applyFill="1" applyAlignment="1">
      <alignment horizontal="left" vertical="center" wrapText="1"/>
    </xf>
  </cellXfs>
  <cellStyles count="1">
    <cellStyle name="Normal" xfId="0" builtinId="0"/>
  </cellStyles>
  <dxfs count="8">
    <dxf>
      <fill>
        <patternFill>
          <fgColor theme="9" tint="0.79998168889431442"/>
          <bgColor theme="9" tint="0.79998168889431442"/>
        </patternFill>
      </fill>
    </dxf>
    <dxf>
      <fill>
        <patternFill>
          <fgColor theme="9" tint="0.79998168889431442"/>
          <bgColor theme="9" tint="0.79998168889431442"/>
        </patternFill>
      </fill>
    </dxf>
    <dxf>
      <fill>
        <patternFill>
          <fgColor theme="9" tint="0.79998168889431442"/>
          <bgColor theme="9" tint="0.79998168889431442"/>
        </patternFill>
      </fill>
    </dxf>
    <dxf>
      <fill>
        <patternFill>
          <fgColor theme="9" tint="0.79998168889431442"/>
          <bgColor theme="9" tint="0.79998168889431442"/>
        </patternFill>
      </fill>
    </dxf>
    <dxf>
      <fill>
        <patternFill patternType="solid">
          <bgColor rgb="FFDAF2D0"/>
        </patternFill>
      </fill>
    </dxf>
    <dxf>
      <fill>
        <patternFill patternType="solid">
          <bgColor rgb="FFDAF2D0"/>
        </patternFill>
      </fill>
    </dxf>
    <dxf>
      <fill>
        <patternFill patternType="solid">
          <bgColor rgb="FFDAF2D0"/>
        </patternFill>
      </fill>
    </dxf>
    <dxf>
      <fill>
        <patternFill patternType="solid">
          <bgColor rgb="FFDAF2D0"/>
        </patternFill>
      </fill>
    </dxf>
  </dxfs>
  <tableStyles count="0" defaultTableStyle="TableStyleMedium2" defaultPivotStyle="PivotStyleLight16"/>
  <colors>
    <mruColors>
      <color rgb="FFEED9C4"/>
      <color rgb="FF501000"/>
      <color rgb="FF757E00"/>
      <color rgb="FF000000"/>
      <color rgb="FFFF0D0D"/>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196A-94A7-4E92-981C-B86A90170CED}">
  <sheetPr>
    <tabColor rgb="FF501000"/>
  </sheetPr>
  <dimension ref="A1:U90"/>
  <sheetViews>
    <sheetView tabSelected="1" zoomScale="70" zoomScaleNormal="70" workbookViewId="0">
      <pane xSplit="3" ySplit="2" topLeftCell="D3" activePane="bottomRight" state="frozen"/>
      <selection pane="topRight" activeCell="D1" sqref="D1"/>
      <selection pane="bottomLeft" activeCell="A3" sqref="A3"/>
      <selection pane="bottomRight" activeCell="B4" sqref="B4"/>
    </sheetView>
  </sheetViews>
  <sheetFormatPr defaultColWidth="8.88671875" defaultRowHeight="15" customHeight="1" x14ac:dyDescent="0.3"/>
  <cols>
    <col min="1" max="1" width="49.33203125" style="4" bestFit="1" customWidth="1"/>
    <col min="2" max="2" width="80" style="4" customWidth="1"/>
    <col min="3" max="3" width="33.88671875" style="25" customWidth="1"/>
    <col min="4" max="4" width="66.44140625" style="4" customWidth="1"/>
    <col min="5" max="5" width="73.44140625" style="3" customWidth="1"/>
    <col min="6" max="6" width="66.44140625" style="4" customWidth="1"/>
    <col min="7" max="7" width="26.33203125" style="3" bestFit="1" customWidth="1"/>
    <col min="8" max="8" width="66.44140625" style="4" customWidth="1"/>
    <col min="9" max="9" width="92.88671875" style="4" customWidth="1"/>
    <col min="10" max="10" width="92.88671875" style="4" bestFit="1" customWidth="1"/>
    <col min="11" max="11" width="66.44140625" style="4" customWidth="1"/>
    <col min="12" max="12" width="85.5546875" style="4" customWidth="1"/>
    <col min="13" max="13" width="80" style="4" customWidth="1"/>
    <col min="14" max="14" width="80" style="36" customWidth="1"/>
    <col min="15" max="16" width="80" style="4" customWidth="1"/>
    <col min="17" max="17" width="21.6640625" style="3" bestFit="1" customWidth="1"/>
    <col min="18" max="18" width="13.33203125" style="3" bestFit="1" customWidth="1"/>
    <col min="19" max="19" width="15.5546875" style="3" bestFit="1" customWidth="1"/>
    <col min="20" max="20" width="26.33203125" style="3" bestFit="1" customWidth="1"/>
    <col min="21" max="21" width="21.6640625" style="3" bestFit="1" customWidth="1"/>
    <col min="22" max="16384" width="8.88671875" style="3"/>
  </cols>
  <sheetData>
    <row r="1" spans="1:16" ht="42" customHeight="1" x14ac:dyDescent="0.3">
      <c r="A1" s="45" t="s">
        <v>63</v>
      </c>
      <c r="B1" s="46"/>
      <c r="C1" s="46"/>
      <c r="D1" s="46"/>
      <c r="E1" s="46"/>
      <c r="F1" s="46"/>
      <c r="G1" s="46"/>
      <c r="H1" s="46"/>
      <c r="I1" s="46"/>
      <c r="J1" s="46"/>
      <c r="K1" s="46"/>
      <c r="L1" s="46"/>
      <c r="M1" s="46"/>
      <c r="N1" s="46"/>
      <c r="O1" s="46"/>
      <c r="P1" s="46"/>
    </row>
    <row r="2" spans="1:16" ht="31.95" customHeight="1" x14ac:dyDescent="0.3">
      <c r="A2" s="1" t="s">
        <v>64</v>
      </c>
      <c r="B2" s="1" t="s">
        <v>0</v>
      </c>
      <c r="C2" s="1" t="s">
        <v>1</v>
      </c>
      <c r="D2" s="1" t="s">
        <v>65</v>
      </c>
      <c r="E2" s="2" t="s">
        <v>66</v>
      </c>
      <c r="F2" s="2" t="s">
        <v>67</v>
      </c>
      <c r="G2" s="2" t="s">
        <v>68</v>
      </c>
      <c r="H2" s="1" t="s">
        <v>69</v>
      </c>
      <c r="I2" s="2" t="s">
        <v>70</v>
      </c>
      <c r="J2" s="2" t="s">
        <v>71</v>
      </c>
      <c r="K2" s="1" t="s">
        <v>72</v>
      </c>
      <c r="L2" s="1" t="s">
        <v>73</v>
      </c>
      <c r="M2" s="1" t="s">
        <v>74</v>
      </c>
      <c r="N2" s="30" t="s">
        <v>75</v>
      </c>
      <c r="O2" s="1" t="s">
        <v>76</v>
      </c>
      <c r="P2" s="1" t="s">
        <v>77</v>
      </c>
    </row>
    <row r="3" spans="1:16" ht="16.2" customHeight="1" x14ac:dyDescent="0.3">
      <c r="A3" s="15"/>
      <c r="B3" s="15"/>
      <c r="C3" s="23"/>
      <c r="D3" s="15"/>
      <c r="E3" s="16"/>
      <c r="F3" s="15"/>
      <c r="G3" s="16"/>
      <c r="H3" s="15"/>
      <c r="I3" s="16"/>
      <c r="J3" s="16"/>
      <c r="K3" s="15"/>
      <c r="L3" s="15"/>
      <c r="M3" s="15"/>
      <c r="N3" s="31"/>
      <c r="O3" s="15"/>
      <c r="P3" s="15"/>
    </row>
    <row r="4" spans="1:16" ht="409.6" x14ac:dyDescent="0.3">
      <c r="A4" s="48" t="s">
        <v>163</v>
      </c>
      <c r="B4" s="7" t="s">
        <v>15</v>
      </c>
      <c r="C4" s="24" t="s">
        <v>45</v>
      </c>
      <c r="D4" s="6" t="s">
        <v>78</v>
      </c>
      <c r="E4" s="8" t="s">
        <v>7</v>
      </c>
      <c r="F4" s="6" t="s">
        <v>47</v>
      </c>
      <c r="G4" s="8" t="s">
        <v>3</v>
      </c>
      <c r="H4" s="6" t="s">
        <v>51</v>
      </c>
      <c r="I4" s="9" t="s">
        <v>16</v>
      </c>
      <c r="J4" s="6" t="s">
        <v>155</v>
      </c>
      <c r="K4" s="6" t="s">
        <v>161</v>
      </c>
      <c r="L4" s="7" t="s">
        <v>154</v>
      </c>
      <c r="M4" s="6" t="s">
        <v>29</v>
      </c>
      <c r="N4" s="32">
        <v>46198</v>
      </c>
      <c r="O4" s="6" t="s">
        <v>145</v>
      </c>
      <c r="P4" s="6" t="s">
        <v>37</v>
      </c>
    </row>
    <row r="5" spans="1:16" ht="409.6" x14ac:dyDescent="0.3">
      <c r="A5" s="48"/>
      <c r="B5" s="7" t="s">
        <v>17</v>
      </c>
      <c r="C5" s="24" t="s">
        <v>45</v>
      </c>
      <c r="D5" s="6" t="s">
        <v>79</v>
      </c>
      <c r="E5" s="8" t="s">
        <v>2</v>
      </c>
      <c r="F5" s="6" t="s">
        <v>48</v>
      </c>
      <c r="G5" s="8" t="s">
        <v>3</v>
      </c>
      <c r="H5" s="6" t="s">
        <v>53</v>
      </c>
      <c r="I5" s="9" t="s">
        <v>14</v>
      </c>
      <c r="J5" s="6" t="s">
        <v>156</v>
      </c>
      <c r="K5" s="6" t="s">
        <v>11</v>
      </c>
      <c r="L5" s="7" t="s">
        <v>153</v>
      </c>
      <c r="M5" s="6" t="s">
        <v>36</v>
      </c>
      <c r="N5" s="32">
        <v>46198</v>
      </c>
      <c r="O5" s="6" t="s">
        <v>145</v>
      </c>
      <c r="P5" s="6" t="s">
        <v>37</v>
      </c>
    </row>
    <row r="6" spans="1:16" ht="18" x14ac:dyDescent="0.3">
      <c r="A6" s="48"/>
      <c r="B6" s="6"/>
      <c r="C6" s="9"/>
      <c r="D6" s="6"/>
      <c r="E6" s="8"/>
      <c r="F6" s="6"/>
      <c r="G6" s="8"/>
      <c r="H6" s="6"/>
      <c r="I6" s="6"/>
      <c r="J6" s="6"/>
      <c r="K6" s="6"/>
      <c r="L6" s="6"/>
      <c r="M6" s="6"/>
      <c r="N6" s="32"/>
      <c r="O6" s="6"/>
      <c r="P6" s="6"/>
    </row>
    <row r="7" spans="1:16" ht="14.4" x14ac:dyDescent="0.3">
      <c r="A7" s="49"/>
      <c r="B7" s="49"/>
      <c r="C7" s="49"/>
      <c r="D7" s="49"/>
      <c r="E7" s="49"/>
      <c r="F7" s="49"/>
      <c r="G7" s="49"/>
      <c r="H7" s="49"/>
      <c r="I7" s="49"/>
      <c r="J7" s="49"/>
      <c r="K7" s="49"/>
      <c r="L7" s="49"/>
      <c r="M7" s="49"/>
      <c r="N7" s="49"/>
      <c r="O7" s="49"/>
      <c r="P7" s="49"/>
    </row>
    <row r="8" spans="1:16" ht="18" x14ac:dyDescent="0.3">
      <c r="A8" s="50" t="s">
        <v>166</v>
      </c>
      <c r="B8" s="7"/>
      <c r="C8" s="24"/>
      <c r="D8" s="6"/>
      <c r="E8" s="8"/>
      <c r="F8" s="6"/>
      <c r="G8" s="8"/>
      <c r="H8" s="6"/>
      <c r="I8" s="6"/>
      <c r="J8" s="6"/>
      <c r="K8" s="6"/>
      <c r="L8" s="7"/>
      <c r="M8" s="6"/>
      <c r="N8" s="32"/>
      <c r="O8" s="6"/>
      <c r="P8" s="6"/>
    </row>
    <row r="9" spans="1:16" s="4" customFormat="1" ht="18" x14ac:dyDescent="0.3">
      <c r="A9" s="50"/>
      <c r="B9" s="7"/>
      <c r="C9" s="24"/>
      <c r="D9" s="6"/>
      <c r="E9" s="8"/>
      <c r="F9" s="6"/>
      <c r="G9" s="8"/>
      <c r="H9" s="6"/>
      <c r="I9" s="6"/>
      <c r="J9" s="6"/>
      <c r="K9" s="6"/>
      <c r="L9" s="7"/>
      <c r="M9" s="6"/>
      <c r="N9" s="32"/>
      <c r="O9" s="6"/>
      <c r="P9" s="6"/>
    </row>
    <row r="10" spans="1:16" s="4" customFormat="1" ht="14.4" x14ac:dyDescent="0.3">
      <c r="A10" s="42"/>
      <c r="B10" s="42"/>
      <c r="C10" s="42"/>
      <c r="D10" s="42"/>
      <c r="E10" s="42"/>
      <c r="F10" s="42"/>
      <c r="G10" s="42"/>
      <c r="H10" s="42"/>
      <c r="I10" s="42"/>
      <c r="J10" s="42"/>
      <c r="K10" s="42"/>
      <c r="L10" s="42"/>
      <c r="M10" s="42"/>
      <c r="N10" s="42"/>
      <c r="O10" s="42"/>
      <c r="P10" s="42"/>
    </row>
    <row r="11" spans="1:16" s="4" customFormat="1" ht="409.6" x14ac:dyDescent="0.3">
      <c r="A11" s="51" t="s">
        <v>162</v>
      </c>
      <c r="B11" s="7" t="s">
        <v>13</v>
      </c>
      <c r="C11" s="24" t="s">
        <v>44</v>
      </c>
      <c r="D11" s="6" t="s">
        <v>80</v>
      </c>
      <c r="E11" s="8" t="s">
        <v>2</v>
      </c>
      <c r="F11" s="8" t="s">
        <v>47</v>
      </c>
      <c r="G11" s="8" t="s">
        <v>3</v>
      </c>
      <c r="H11" s="6" t="s">
        <v>54</v>
      </c>
      <c r="I11" s="9" t="s">
        <v>84</v>
      </c>
      <c r="J11" s="6" t="s">
        <v>22</v>
      </c>
      <c r="K11" s="6" t="s">
        <v>160</v>
      </c>
      <c r="L11" s="7" t="s">
        <v>149</v>
      </c>
      <c r="M11" s="7" t="s">
        <v>34</v>
      </c>
      <c r="N11" s="33">
        <v>46175</v>
      </c>
      <c r="O11" s="7" t="s">
        <v>145</v>
      </c>
      <c r="P11" s="7" t="s">
        <v>38</v>
      </c>
    </row>
    <row r="12" spans="1:16" s="4" customFormat="1" ht="409.6" x14ac:dyDescent="0.3">
      <c r="A12" s="51"/>
      <c r="B12" s="7" t="s">
        <v>4</v>
      </c>
      <c r="C12" s="24" t="s">
        <v>44</v>
      </c>
      <c r="D12" s="6" t="s">
        <v>81</v>
      </c>
      <c r="E12" s="8" t="s">
        <v>2</v>
      </c>
      <c r="F12" s="8" t="s">
        <v>47</v>
      </c>
      <c r="G12" s="8" t="s">
        <v>5</v>
      </c>
      <c r="H12" s="6" t="s">
        <v>54</v>
      </c>
      <c r="I12" s="9" t="s">
        <v>85</v>
      </c>
      <c r="J12" s="6" t="s">
        <v>22</v>
      </c>
      <c r="K12" s="6" t="s">
        <v>159</v>
      </c>
      <c r="L12" s="7" t="s">
        <v>150</v>
      </c>
      <c r="M12" s="7" t="s">
        <v>106</v>
      </c>
      <c r="N12" s="33">
        <v>46175</v>
      </c>
      <c r="O12" s="7" t="s">
        <v>145</v>
      </c>
      <c r="P12" s="7" t="s">
        <v>38</v>
      </c>
    </row>
    <row r="13" spans="1:16" s="4" customFormat="1" ht="409.6" x14ac:dyDescent="0.3">
      <c r="A13" s="51"/>
      <c r="B13" s="7" t="s">
        <v>6</v>
      </c>
      <c r="C13" s="24" t="s">
        <v>44</v>
      </c>
      <c r="D13" s="6" t="s">
        <v>82</v>
      </c>
      <c r="E13" s="8" t="s">
        <v>7</v>
      </c>
      <c r="F13" s="8" t="s">
        <v>48</v>
      </c>
      <c r="G13" s="8" t="s">
        <v>3</v>
      </c>
      <c r="H13" s="6" t="s">
        <v>55</v>
      </c>
      <c r="I13" s="9" t="s">
        <v>86</v>
      </c>
      <c r="J13" s="6" t="s">
        <v>22</v>
      </c>
      <c r="K13" s="6" t="s">
        <v>158</v>
      </c>
      <c r="L13" s="7" t="s">
        <v>151</v>
      </c>
      <c r="M13" s="7" t="s">
        <v>107</v>
      </c>
      <c r="N13" s="33">
        <v>46175</v>
      </c>
      <c r="O13" s="7" t="s">
        <v>145</v>
      </c>
      <c r="P13" s="7" t="s">
        <v>38</v>
      </c>
    </row>
    <row r="14" spans="1:16" s="4" customFormat="1" ht="14.4" x14ac:dyDescent="0.3">
      <c r="A14" s="42"/>
      <c r="B14" s="42"/>
      <c r="C14" s="42"/>
      <c r="D14" s="42"/>
      <c r="E14" s="42"/>
      <c r="F14" s="42"/>
      <c r="G14" s="42"/>
      <c r="H14" s="42"/>
      <c r="I14" s="42"/>
      <c r="J14" s="42"/>
      <c r="K14" s="42"/>
      <c r="L14" s="42"/>
      <c r="M14" s="42"/>
      <c r="N14" s="42"/>
      <c r="O14" s="42"/>
      <c r="P14" s="42"/>
    </row>
    <row r="15" spans="1:16" s="4" customFormat="1" ht="409.6" x14ac:dyDescent="0.3">
      <c r="A15" s="52" t="s">
        <v>164</v>
      </c>
      <c r="B15" s="7" t="s">
        <v>8</v>
      </c>
      <c r="C15" s="24" t="s">
        <v>44</v>
      </c>
      <c r="D15" s="6" t="s">
        <v>83</v>
      </c>
      <c r="E15" s="8" t="s">
        <v>2</v>
      </c>
      <c r="F15" s="6" t="s">
        <v>49</v>
      </c>
      <c r="G15" s="8" t="s">
        <v>3</v>
      </c>
      <c r="H15" s="6" t="s">
        <v>62</v>
      </c>
      <c r="I15" s="9" t="s">
        <v>87</v>
      </c>
      <c r="J15" s="6" t="s">
        <v>22</v>
      </c>
      <c r="K15" s="6" t="s">
        <v>157</v>
      </c>
      <c r="L15" s="7" t="s">
        <v>152</v>
      </c>
      <c r="M15" s="6" t="s">
        <v>40</v>
      </c>
      <c r="N15" s="33">
        <v>46175</v>
      </c>
      <c r="O15" s="7" t="s">
        <v>145</v>
      </c>
      <c r="P15" s="7" t="s">
        <v>38</v>
      </c>
    </row>
    <row r="16" spans="1:16" s="4" customFormat="1" ht="14.4" x14ac:dyDescent="0.3">
      <c r="A16" s="52"/>
      <c r="B16" s="26"/>
      <c r="C16" s="27"/>
      <c r="D16" s="26"/>
      <c r="E16" s="28"/>
      <c r="F16" s="26"/>
      <c r="G16" s="28"/>
      <c r="H16" s="26"/>
      <c r="I16" s="26"/>
      <c r="J16" s="26"/>
      <c r="K16" s="26"/>
      <c r="L16" s="26"/>
      <c r="M16" s="26"/>
      <c r="N16" s="34"/>
      <c r="O16" s="26"/>
      <c r="P16" s="26"/>
    </row>
    <row r="17" spans="1:21" s="4" customFormat="1" ht="14.4" x14ac:dyDescent="0.3">
      <c r="A17" s="53"/>
      <c r="B17" s="53"/>
      <c r="C17" s="53"/>
      <c r="D17" s="53"/>
      <c r="E17" s="53"/>
      <c r="F17" s="53"/>
      <c r="G17" s="53"/>
      <c r="H17" s="53"/>
      <c r="I17" s="53"/>
      <c r="J17" s="53"/>
      <c r="K17" s="53"/>
      <c r="L17" s="53"/>
      <c r="M17" s="53"/>
      <c r="N17" s="53"/>
      <c r="O17" s="53"/>
      <c r="P17" s="53"/>
    </row>
    <row r="18" spans="1:21" s="4" customFormat="1" ht="18" x14ac:dyDescent="0.3">
      <c r="A18" s="54" t="s">
        <v>42</v>
      </c>
      <c r="B18" s="9"/>
      <c r="C18" s="9"/>
      <c r="D18" s="9"/>
      <c r="E18" s="10"/>
      <c r="F18" s="9"/>
      <c r="G18" s="10"/>
      <c r="H18" s="9"/>
      <c r="I18" s="9"/>
      <c r="J18" s="9"/>
      <c r="K18" s="9"/>
      <c r="L18" s="9"/>
      <c r="M18" s="9"/>
      <c r="N18" s="35"/>
      <c r="O18" s="9"/>
      <c r="P18" s="9"/>
    </row>
    <row r="19" spans="1:21" s="4" customFormat="1" ht="18" x14ac:dyDescent="0.3">
      <c r="A19" s="54"/>
      <c r="B19" s="9"/>
      <c r="C19" s="9"/>
      <c r="D19" s="9"/>
      <c r="E19" s="10"/>
      <c r="F19" s="9"/>
      <c r="G19" s="10"/>
      <c r="H19" s="9"/>
      <c r="I19" s="9"/>
      <c r="J19" s="9"/>
      <c r="K19" s="9"/>
      <c r="L19" s="9"/>
      <c r="M19" s="9"/>
      <c r="N19" s="35"/>
      <c r="O19" s="9"/>
      <c r="P19" s="9"/>
    </row>
    <row r="20" spans="1:21" s="4" customFormat="1" ht="14.4" x14ac:dyDescent="0.3">
      <c r="A20" s="42"/>
      <c r="B20" s="42"/>
      <c r="C20" s="42"/>
      <c r="D20" s="42"/>
      <c r="E20" s="42"/>
      <c r="F20" s="42"/>
      <c r="G20" s="42"/>
      <c r="H20" s="42"/>
      <c r="I20" s="42"/>
      <c r="J20" s="42"/>
      <c r="K20" s="42"/>
      <c r="L20" s="42"/>
      <c r="M20" s="42"/>
      <c r="N20" s="42"/>
      <c r="O20" s="42"/>
      <c r="P20" s="42"/>
    </row>
    <row r="21" spans="1:21" s="4" customFormat="1" ht="18" x14ac:dyDescent="0.3">
      <c r="A21" s="47" t="s">
        <v>165</v>
      </c>
      <c r="B21" s="7"/>
      <c r="C21" s="24"/>
      <c r="D21" s="6"/>
      <c r="E21" s="8"/>
      <c r="F21" s="8"/>
      <c r="G21" s="8"/>
      <c r="H21" s="6"/>
      <c r="I21" s="6"/>
      <c r="J21" s="6"/>
      <c r="K21" s="6"/>
      <c r="L21" s="7"/>
      <c r="M21" s="7"/>
      <c r="N21" s="33"/>
      <c r="O21" s="7"/>
      <c r="P21" s="7"/>
    </row>
    <row r="22" spans="1:21" s="4" customFormat="1" ht="18" x14ac:dyDescent="0.3">
      <c r="A22" s="47"/>
      <c r="B22" s="7"/>
      <c r="C22" s="24"/>
      <c r="D22" s="6"/>
      <c r="E22" s="8"/>
      <c r="F22" s="8"/>
      <c r="G22" s="8"/>
      <c r="H22" s="6"/>
      <c r="I22" s="6"/>
      <c r="J22" s="6"/>
      <c r="K22" s="6"/>
      <c r="L22" s="7"/>
      <c r="M22" s="7"/>
      <c r="N22" s="33"/>
      <c r="O22" s="7"/>
      <c r="P22" s="7"/>
    </row>
    <row r="23" spans="1:21" s="4" customFormat="1" ht="14.4" x14ac:dyDescent="0.3">
      <c r="A23" s="42"/>
      <c r="B23" s="42"/>
      <c r="C23" s="42"/>
      <c r="D23" s="42"/>
      <c r="E23" s="42"/>
      <c r="F23" s="42"/>
      <c r="G23" s="42"/>
      <c r="H23" s="42"/>
      <c r="I23" s="42"/>
      <c r="J23" s="42"/>
      <c r="K23" s="42"/>
      <c r="L23" s="42"/>
      <c r="M23" s="42"/>
      <c r="N23" s="42"/>
      <c r="O23" s="42"/>
      <c r="P23" s="42"/>
    </row>
    <row r="24" spans="1:21" s="4" customFormat="1" ht="18" x14ac:dyDescent="0.3">
      <c r="A24" s="43" t="s">
        <v>43</v>
      </c>
      <c r="B24" s="6"/>
      <c r="C24" s="9"/>
      <c r="D24" s="6"/>
      <c r="E24" s="8"/>
      <c r="F24" s="6"/>
      <c r="G24" s="8"/>
      <c r="H24" s="6"/>
      <c r="I24" s="6"/>
      <c r="J24" s="6"/>
      <c r="K24" s="6"/>
      <c r="L24" s="6"/>
      <c r="M24" s="6"/>
      <c r="N24" s="32"/>
      <c r="O24" s="6"/>
      <c r="P24" s="6"/>
    </row>
    <row r="25" spans="1:21" s="4" customFormat="1" ht="18" x14ac:dyDescent="0.3">
      <c r="A25" s="43"/>
      <c r="B25" s="6"/>
      <c r="C25" s="9"/>
      <c r="D25" s="6"/>
      <c r="E25" s="8"/>
      <c r="F25" s="6"/>
      <c r="G25" s="8"/>
      <c r="H25" s="6"/>
      <c r="I25" s="6"/>
      <c r="J25" s="6"/>
      <c r="K25" s="6"/>
      <c r="L25" s="6"/>
      <c r="M25" s="6"/>
      <c r="N25" s="32"/>
      <c r="O25" s="6"/>
      <c r="P25" s="6"/>
    </row>
    <row r="26" spans="1:21" s="4" customFormat="1" ht="18" x14ac:dyDescent="0.3">
      <c r="A26" s="44"/>
      <c r="B26" s="44"/>
      <c r="C26" s="44"/>
      <c r="D26" s="44"/>
      <c r="E26" s="44"/>
      <c r="F26" s="44"/>
      <c r="G26" s="44"/>
      <c r="H26" s="44"/>
      <c r="I26" s="44"/>
      <c r="J26" s="44"/>
      <c r="K26" s="44"/>
      <c r="L26" s="44"/>
      <c r="M26" s="44"/>
      <c r="N26" s="44"/>
      <c r="O26" s="44"/>
      <c r="P26" s="44"/>
    </row>
    <row r="27" spans="1:21" s="4" customFormat="1" ht="14.4" x14ac:dyDescent="0.3">
      <c r="C27" s="25"/>
      <c r="N27" s="36"/>
    </row>
    <row r="28" spans="1:21" s="4" customFormat="1" ht="14.4" x14ac:dyDescent="0.3">
      <c r="A28" s="42"/>
      <c r="B28" s="42"/>
      <c r="C28" s="42"/>
      <c r="D28" s="42"/>
      <c r="E28" s="42"/>
      <c r="F28" s="42"/>
      <c r="G28" s="42"/>
      <c r="H28" s="42"/>
      <c r="I28" s="42"/>
      <c r="J28" s="42"/>
      <c r="K28" s="42"/>
      <c r="L28" s="42"/>
      <c r="M28" s="42"/>
      <c r="N28" s="42"/>
      <c r="O28" s="42"/>
      <c r="P28" s="42"/>
      <c r="Q28" s="42"/>
      <c r="R28" s="42"/>
      <c r="S28" s="42"/>
      <c r="T28" s="42"/>
      <c r="U28" s="42"/>
    </row>
    <row r="29" spans="1:21" s="4" customFormat="1" ht="14.4" x14ac:dyDescent="0.3">
      <c r="C29" s="25"/>
      <c r="N29" s="36"/>
    </row>
    <row r="30" spans="1:21" s="4" customFormat="1" ht="14.4" x14ac:dyDescent="0.3">
      <c r="C30" s="25"/>
      <c r="N30" s="36"/>
    </row>
    <row r="31" spans="1:21" s="4" customFormat="1" ht="14.4" x14ac:dyDescent="0.3">
      <c r="C31" s="25"/>
      <c r="N31" s="36"/>
    </row>
    <row r="32" spans="1:21" s="4" customFormat="1" ht="14.4" x14ac:dyDescent="0.3">
      <c r="C32" s="25"/>
      <c r="N32" s="36"/>
    </row>
    <row r="33" spans="3:14" s="4" customFormat="1" ht="14.4" x14ac:dyDescent="0.3">
      <c r="C33" s="25"/>
      <c r="N33" s="36"/>
    </row>
    <row r="34" spans="3:14" s="4" customFormat="1" ht="14.4" x14ac:dyDescent="0.3">
      <c r="C34" s="25"/>
      <c r="N34" s="36"/>
    </row>
    <row r="35" spans="3:14" s="4" customFormat="1" ht="14.4" x14ac:dyDescent="0.3">
      <c r="C35" s="25"/>
      <c r="N35" s="36"/>
    </row>
    <row r="36" spans="3:14" s="4" customFormat="1" ht="14.4" x14ac:dyDescent="0.3">
      <c r="C36" s="25"/>
      <c r="N36" s="36"/>
    </row>
    <row r="37" spans="3:14" s="4" customFormat="1" ht="14.4" x14ac:dyDescent="0.3">
      <c r="C37" s="25"/>
      <c r="N37" s="36"/>
    </row>
    <row r="38" spans="3:14" s="4" customFormat="1" ht="14.4" x14ac:dyDescent="0.3">
      <c r="C38" s="25"/>
      <c r="N38" s="36"/>
    </row>
    <row r="39" spans="3:14" s="4" customFormat="1" ht="14.4" x14ac:dyDescent="0.3">
      <c r="C39" s="25"/>
      <c r="N39" s="36"/>
    </row>
    <row r="40" spans="3:14" s="4" customFormat="1" ht="14.4" x14ac:dyDescent="0.3">
      <c r="C40" s="25"/>
      <c r="N40" s="36"/>
    </row>
    <row r="41" spans="3:14" s="4" customFormat="1" ht="14.4" x14ac:dyDescent="0.3">
      <c r="C41" s="25"/>
      <c r="N41" s="36"/>
    </row>
    <row r="42" spans="3:14" s="4" customFormat="1" ht="14.4" x14ac:dyDescent="0.3">
      <c r="C42" s="25"/>
      <c r="N42" s="36"/>
    </row>
    <row r="43" spans="3:14" s="4" customFormat="1" ht="14.4" x14ac:dyDescent="0.3">
      <c r="C43" s="25"/>
      <c r="N43" s="36"/>
    </row>
    <row r="44" spans="3:14" s="4" customFormat="1" ht="14.4" x14ac:dyDescent="0.3">
      <c r="C44" s="25"/>
      <c r="N44" s="36"/>
    </row>
    <row r="45" spans="3:14" s="4" customFormat="1" ht="14.4" x14ac:dyDescent="0.3">
      <c r="C45" s="25"/>
      <c r="N45" s="36"/>
    </row>
    <row r="46" spans="3:14" s="4" customFormat="1" ht="14.4" x14ac:dyDescent="0.3">
      <c r="C46" s="25"/>
      <c r="N46" s="36"/>
    </row>
    <row r="47" spans="3:14" s="4" customFormat="1" ht="14.4" x14ac:dyDescent="0.3">
      <c r="C47" s="25"/>
      <c r="N47" s="36"/>
    </row>
    <row r="48" spans="3:14" s="4" customFormat="1" ht="14.4" x14ac:dyDescent="0.3">
      <c r="C48" s="25"/>
      <c r="N48" s="36"/>
    </row>
    <row r="49" spans="3:14" s="4" customFormat="1" ht="14.4" x14ac:dyDescent="0.3">
      <c r="C49" s="25"/>
      <c r="N49" s="36"/>
    </row>
    <row r="50" spans="3:14" s="4" customFormat="1" ht="14.4" x14ac:dyDescent="0.3">
      <c r="C50" s="25"/>
      <c r="N50" s="36"/>
    </row>
    <row r="51" spans="3:14" s="4" customFormat="1" ht="14.4" x14ac:dyDescent="0.3">
      <c r="C51" s="25"/>
      <c r="N51" s="36"/>
    </row>
    <row r="52" spans="3:14" s="4" customFormat="1" ht="14.4" x14ac:dyDescent="0.3">
      <c r="C52" s="25"/>
      <c r="N52" s="36"/>
    </row>
    <row r="53" spans="3:14" s="4" customFormat="1" ht="14.4" x14ac:dyDescent="0.3">
      <c r="C53" s="25"/>
      <c r="N53" s="36"/>
    </row>
    <row r="54" spans="3:14" s="4" customFormat="1" ht="14.4" x14ac:dyDescent="0.3">
      <c r="C54" s="25"/>
      <c r="N54" s="36"/>
    </row>
    <row r="55" spans="3:14" s="4" customFormat="1" ht="14.4" x14ac:dyDescent="0.3">
      <c r="C55" s="25"/>
      <c r="N55" s="36"/>
    </row>
    <row r="56" spans="3:14" s="4" customFormat="1" ht="14.4" x14ac:dyDescent="0.3">
      <c r="C56" s="25"/>
      <c r="N56" s="36"/>
    </row>
    <row r="57" spans="3:14" s="4" customFormat="1" ht="14.4" x14ac:dyDescent="0.3">
      <c r="C57" s="25"/>
      <c r="N57" s="36"/>
    </row>
    <row r="58" spans="3:14" s="4" customFormat="1" ht="14.4" x14ac:dyDescent="0.3">
      <c r="C58" s="25"/>
      <c r="N58" s="36"/>
    </row>
    <row r="59" spans="3:14" s="4" customFormat="1" ht="14.4" x14ac:dyDescent="0.3">
      <c r="C59" s="25"/>
      <c r="N59" s="36"/>
    </row>
    <row r="60" spans="3:14" s="4" customFormat="1" ht="14.4" x14ac:dyDescent="0.3">
      <c r="C60" s="25"/>
      <c r="N60" s="36"/>
    </row>
    <row r="61" spans="3:14" s="4" customFormat="1" ht="14.4" x14ac:dyDescent="0.3">
      <c r="C61" s="25"/>
      <c r="N61" s="36"/>
    </row>
    <row r="62" spans="3:14" s="4" customFormat="1" ht="14.4" x14ac:dyDescent="0.3">
      <c r="C62" s="25"/>
      <c r="N62" s="36"/>
    </row>
    <row r="63" spans="3:14" s="4" customFormat="1" ht="14.4" x14ac:dyDescent="0.3">
      <c r="C63" s="25"/>
      <c r="N63" s="36"/>
    </row>
    <row r="64" spans="3:14" s="4" customFormat="1" ht="14.4" x14ac:dyDescent="0.3">
      <c r="C64" s="25"/>
      <c r="N64" s="36"/>
    </row>
    <row r="65" spans="3:14" s="4" customFormat="1" ht="14.4" x14ac:dyDescent="0.3">
      <c r="C65" s="25"/>
      <c r="N65" s="36"/>
    </row>
    <row r="66" spans="3:14" s="4" customFormat="1" ht="14.4" x14ac:dyDescent="0.3">
      <c r="C66" s="25"/>
      <c r="N66" s="36"/>
    </row>
    <row r="67" spans="3:14" s="4" customFormat="1" ht="14.4" x14ac:dyDescent="0.3">
      <c r="C67" s="25"/>
      <c r="N67" s="36"/>
    </row>
    <row r="68" spans="3:14" s="4" customFormat="1" ht="14.4" x14ac:dyDescent="0.3">
      <c r="C68" s="25"/>
      <c r="N68" s="36"/>
    </row>
    <row r="69" spans="3:14" s="4" customFormat="1" ht="14.4" x14ac:dyDescent="0.3">
      <c r="C69" s="25"/>
      <c r="N69" s="36"/>
    </row>
    <row r="70" spans="3:14" s="4" customFormat="1" ht="14.4" x14ac:dyDescent="0.3">
      <c r="C70" s="25"/>
      <c r="N70" s="36"/>
    </row>
    <row r="71" spans="3:14" s="4" customFormat="1" ht="14.4" x14ac:dyDescent="0.3">
      <c r="C71" s="25"/>
      <c r="N71" s="36"/>
    </row>
    <row r="72" spans="3:14" s="4" customFormat="1" ht="14.4" x14ac:dyDescent="0.3">
      <c r="C72" s="25"/>
      <c r="N72" s="36"/>
    </row>
    <row r="73" spans="3:14" s="4" customFormat="1" ht="14.4" x14ac:dyDescent="0.3">
      <c r="C73" s="25"/>
      <c r="N73" s="36"/>
    </row>
    <row r="74" spans="3:14" s="4" customFormat="1" ht="14.4" x14ac:dyDescent="0.3">
      <c r="C74" s="25"/>
      <c r="N74" s="36"/>
    </row>
    <row r="75" spans="3:14" s="4" customFormat="1" ht="14.4" x14ac:dyDescent="0.3">
      <c r="C75" s="25"/>
      <c r="N75" s="36"/>
    </row>
    <row r="76" spans="3:14" s="4" customFormat="1" ht="14.4" x14ac:dyDescent="0.3">
      <c r="C76" s="25"/>
      <c r="N76" s="36"/>
    </row>
    <row r="77" spans="3:14" s="4" customFormat="1" ht="14.4" x14ac:dyDescent="0.3">
      <c r="C77" s="25"/>
      <c r="N77" s="36"/>
    </row>
    <row r="78" spans="3:14" s="4" customFormat="1" ht="14.4" x14ac:dyDescent="0.3">
      <c r="C78" s="25"/>
      <c r="N78" s="36"/>
    </row>
    <row r="79" spans="3:14" s="4" customFormat="1" ht="14.4" x14ac:dyDescent="0.3">
      <c r="C79" s="25"/>
      <c r="N79" s="36"/>
    </row>
    <row r="80" spans="3:14" s="4" customFormat="1" ht="14.4" x14ac:dyDescent="0.3">
      <c r="C80" s="25"/>
      <c r="N80" s="36"/>
    </row>
    <row r="81" spans="3:14" s="4" customFormat="1" ht="14.4" x14ac:dyDescent="0.3">
      <c r="C81" s="25"/>
      <c r="N81" s="36"/>
    </row>
    <row r="82" spans="3:14" s="4" customFormat="1" ht="14.4" x14ac:dyDescent="0.3">
      <c r="C82" s="25"/>
      <c r="N82" s="36"/>
    </row>
    <row r="83" spans="3:14" s="4" customFormat="1" ht="14.4" x14ac:dyDescent="0.3">
      <c r="C83" s="25"/>
      <c r="N83" s="36"/>
    </row>
    <row r="84" spans="3:14" s="4" customFormat="1" ht="14.4" x14ac:dyDescent="0.3">
      <c r="C84" s="25"/>
      <c r="N84" s="36"/>
    </row>
    <row r="85" spans="3:14" s="4" customFormat="1" ht="14.4" x14ac:dyDescent="0.3">
      <c r="C85" s="25"/>
      <c r="N85" s="36"/>
    </row>
    <row r="86" spans="3:14" s="4" customFormat="1" ht="14.4" x14ac:dyDescent="0.3">
      <c r="C86" s="25"/>
      <c r="N86" s="36"/>
    </row>
    <row r="87" spans="3:14" s="4" customFormat="1" ht="14.4" x14ac:dyDescent="0.3">
      <c r="C87" s="25"/>
      <c r="N87" s="36"/>
    </row>
    <row r="88" spans="3:14" s="4" customFormat="1" ht="14.4" x14ac:dyDescent="0.3">
      <c r="C88" s="25"/>
      <c r="N88" s="36"/>
    </row>
    <row r="89" spans="3:14" s="4" customFormat="1" ht="14.4" x14ac:dyDescent="0.3">
      <c r="C89" s="25"/>
      <c r="N89" s="36"/>
    </row>
    <row r="90" spans="3:14" s="4" customFormat="1" ht="14.4" x14ac:dyDescent="0.3">
      <c r="C90" s="25"/>
      <c r="N90" s="36"/>
    </row>
  </sheetData>
  <mergeCells count="16">
    <mergeCell ref="A23:P23"/>
    <mergeCell ref="A24:A25"/>
    <mergeCell ref="A26:P26"/>
    <mergeCell ref="A28:U28"/>
    <mergeCell ref="A1:P1"/>
    <mergeCell ref="A21:A22"/>
    <mergeCell ref="A4:A6"/>
    <mergeCell ref="A7:P7"/>
    <mergeCell ref="A8:A9"/>
    <mergeCell ref="A10:P10"/>
    <mergeCell ref="A11:A13"/>
    <mergeCell ref="A14:P14"/>
    <mergeCell ref="A15:A16"/>
    <mergeCell ref="A17:P17"/>
    <mergeCell ref="A18:A19"/>
    <mergeCell ref="A20:P20"/>
  </mergeCells>
  <conditionalFormatting sqref="B4:P51">
    <cfRule type="expression" dxfId="7" priority="1" stopIfTrue="1">
      <formula>$C4="In production"</formula>
    </cfRule>
  </conditionalFormatting>
  <dataValidations count="1">
    <dataValidation type="list" allowBlank="1" showInputMessage="1" showErrorMessage="1" sqref="C4 C5 C6 C8 C9 C11 C12 C13 C15 C16 C18 C19 C21 C22 C24 C25" xr:uid="{DD3E7377-BA1D-40FF-AC7F-E40BF17EFF61}">
      <formula1>"In staging,In production"</formula1>
    </dataValidation>
  </dataValidations>
  <pageMargins left="0.511811024" right="0.511811024" top="0.78740157499999996" bottom="0.78740157499999996" header="0.31496062000000002" footer="0.31496062000000002"/>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431A-28E2-42EC-B8B6-05E9E44098AF}">
  <sheetPr>
    <tabColor theme="4" tint="-0.499984740745262"/>
  </sheetPr>
  <dimension ref="A1:V73"/>
  <sheetViews>
    <sheetView showGridLines="0" zoomScale="70" zoomScaleNormal="70" workbookViewId="0">
      <pane xSplit="2" ySplit="2" topLeftCell="C3" activePane="bottomRight" state="frozen"/>
      <selection pane="topRight" activeCell="C1" sqref="C1"/>
      <selection pane="bottomLeft" activeCell="A3" sqref="A3"/>
      <selection pane="bottomRight" activeCell="O5" sqref="O5"/>
    </sheetView>
  </sheetViews>
  <sheetFormatPr defaultColWidth="8.88671875" defaultRowHeight="15" customHeight="1" x14ac:dyDescent="0.3"/>
  <cols>
    <col min="1" max="1" width="58.5546875" style="4" customWidth="1"/>
    <col min="2" max="2" width="22" style="4" customWidth="1"/>
    <col min="3" max="3" width="45.33203125" style="4" customWidth="1"/>
    <col min="4" max="4" width="26" style="4" customWidth="1"/>
    <col min="5" max="5" width="29.88671875" style="4" bestFit="1" customWidth="1"/>
    <col min="6" max="6" width="42.44140625" style="4" customWidth="1"/>
    <col min="7" max="7" width="51.6640625" style="4" customWidth="1"/>
    <col min="8" max="8" width="36.6640625" style="4" customWidth="1"/>
    <col min="9" max="9" width="66.33203125" style="4" bestFit="1" customWidth="1"/>
    <col min="10" max="10" width="36.6640625" style="4" customWidth="1"/>
    <col min="11" max="11" width="79.5546875" style="4" bestFit="1" customWidth="1"/>
    <col min="12" max="12" width="81.33203125" style="4" bestFit="1" customWidth="1"/>
    <col min="13" max="13" width="26.33203125" style="4" customWidth="1"/>
    <col min="14" max="14" width="54.33203125" style="4" customWidth="1"/>
    <col min="15" max="15" width="32.6640625" style="36" customWidth="1"/>
    <col min="16" max="16" width="255.6640625" style="3" bestFit="1" customWidth="1"/>
    <col min="17" max="17" width="26.33203125" style="3" bestFit="1" customWidth="1"/>
    <col min="18" max="18" width="21.6640625" style="3" bestFit="1" customWidth="1"/>
    <col min="19" max="19" width="13.33203125" style="3" bestFit="1" customWidth="1"/>
    <col min="20" max="20" width="15.5546875" style="3" bestFit="1" customWidth="1"/>
    <col min="21" max="21" width="26.33203125" style="3" bestFit="1" customWidth="1"/>
    <col min="22" max="22" width="21.6640625" style="3" bestFit="1" customWidth="1"/>
    <col min="23" max="16384" width="8.88671875" style="3"/>
  </cols>
  <sheetData>
    <row r="1" spans="1:22" ht="45" customHeight="1" x14ac:dyDescent="0.3">
      <c r="A1" s="55" t="s">
        <v>88</v>
      </c>
      <c r="B1" s="56"/>
      <c r="C1" s="56"/>
      <c r="D1" s="56"/>
      <c r="E1" s="56"/>
      <c r="F1" s="56"/>
      <c r="G1" s="56"/>
      <c r="H1" s="56"/>
      <c r="I1" s="56"/>
      <c r="J1" s="56"/>
      <c r="K1" s="56"/>
      <c r="L1" s="56"/>
      <c r="M1" s="56"/>
      <c r="N1" s="56"/>
      <c r="O1" s="56"/>
      <c r="P1" s="56"/>
      <c r="Q1" s="13"/>
      <c r="R1" s="13"/>
      <c r="S1" s="13"/>
      <c r="T1" s="13"/>
      <c r="U1" s="13"/>
      <c r="V1" s="13"/>
    </row>
    <row r="2" spans="1:22" ht="30.75" customHeight="1" x14ac:dyDescent="0.3">
      <c r="A2" s="14" t="s">
        <v>89</v>
      </c>
      <c r="B2" s="2" t="s">
        <v>1</v>
      </c>
      <c r="C2" s="2" t="s">
        <v>90</v>
      </c>
      <c r="D2" s="2" t="s">
        <v>91</v>
      </c>
      <c r="E2" s="1" t="s">
        <v>69</v>
      </c>
      <c r="F2" s="2" t="s">
        <v>70</v>
      </c>
      <c r="G2" s="1" t="s">
        <v>72</v>
      </c>
      <c r="H2" s="2" t="s">
        <v>92</v>
      </c>
      <c r="I2" s="1" t="s">
        <v>93</v>
      </c>
      <c r="J2" s="2" t="s">
        <v>94</v>
      </c>
      <c r="K2" s="1" t="s">
        <v>95</v>
      </c>
      <c r="L2" s="1" t="s">
        <v>96</v>
      </c>
      <c r="M2" s="1" t="s">
        <v>76</v>
      </c>
      <c r="N2" s="1" t="s">
        <v>77</v>
      </c>
      <c r="O2" s="30" t="s">
        <v>75</v>
      </c>
      <c r="P2" s="12" t="s">
        <v>97</v>
      </c>
    </row>
    <row r="3" spans="1:22" ht="18.600000000000001" customHeight="1" x14ac:dyDescent="0.3">
      <c r="A3" s="15"/>
      <c r="B3" s="16"/>
      <c r="C3" s="16"/>
      <c r="D3" s="16"/>
      <c r="E3" s="16"/>
      <c r="F3" s="16"/>
      <c r="G3" s="16"/>
      <c r="H3" s="16"/>
      <c r="I3" s="15"/>
      <c r="J3" s="16"/>
      <c r="K3" s="15"/>
      <c r="L3" s="15"/>
      <c r="M3" s="15"/>
      <c r="N3" s="15"/>
      <c r="O3" s="31"/>
      <c r="P3" s="18"/>
    </row>
    <row r="4" spans="1:22" ht="409.6" x14ac:dyDescent="0.3">
      <c r="A4" s="17" t="s">
        <v>23</v>
      </c>
      <c r="B4" s="20" t="s">
        <v>44</v>
      </c>
      <c r="C4" s="11" t="s">
        <v>114</v>
      </c>
      <c r="D4" s="20" t="s">
        <v>119</v>
      </c>
      <c r="E4" s="19" t="s">
        <v>56</v>
      </c>
      <c r="F4" s="20" t="s">
        <v>9</v>
      </c>
      <c r="G4" s="11" t="s">
        <v>123</v>
      </c>
      <c r="H4" s="11" t="s">
        <v>126</v>
      </c>
      <c r="I4" s="11" t="s">
        <v>131</v>
      </c>
      <c r="J4" s="11" t="s">
        <v>137</v>
      </c>
      <c r="K4" s="11" t="s">
        <v>139</v>
      </c>
      <c r="L4" s="11" t="s">
        <v>31</v>
      </c>
      <c r="M4" s="11" t="s">
        <v>145</v>
      </c>
      <c r="N4" s="11" t="s">
        <v>39</v>
      </c>
      <c r="O4" s="37">
        <v>46175</v>
      </c>
      <c r="P4" s="38" t="s">
        <v>146</v>
      </c>
    </row>
    <row r="5" spans="1:22" ht="409.6" x14ac:dyDescent="0.3">
      <c r="A5" s="5" t="s">
        <v>24</v>
      </c>
      <c r="B5" s="20" t="s">
        <v>44</v>
      </c>
      <c r="C5" s="11" t="s">
        <v>115</v>
      </c>
      <c r="D5" s="20" t="s">
        <v>120</v>
      </c>
      <c r="E5" s="19" t="s">
        <v>56</v>
      </c>
      <c r="F5" s="20" t="s">
        <v>10</v>
      </c>
      <c r="G5" s="11" t="s">
        <v>124</v>
      </c>
      <c r="H5" s="11" t="s">
        <v>127</v>
      </c>
      <c r="I5" s="11" t="s">
        <v>132</v>
      </c>
      <c r="J5" s="11" t="s">
        <v>11</v>
      </c>
      <c r="K5" s="11" t="s">
        <v>140</v>
      </c>
      <c r="L5" s="11" t="s">
        <v>32</v>
      </c>
      <c r="M5" s="11" t="s">
        <v>145</v>
      </c>
      <c r="N5" s="11" t="s">
        <v>39</v>
      </c>
      <c r="O5" s="37">
        <v>46175</v>
      </c>
      <c r="P5" s="38" t="s">
        <v>148</v>
      </c>
    </row>
    <row r="6" spans="1:22" ht="409.6" x14ac:dyDescent="0.3">
      <c r="A6" s="5" t="s">
        <v>25</v>
      </c>
      <c r="B6" s="20" t="s">
        <v>44</v>
      </c>
      <c r="C6" s="11" t="s">
        <v>116</v>
      </c>
      <c r="D6" s="20" t="s">
        <v>121</v>
      </c>
      <c r="E6" s="19" t="s">
        <v>57</v>
      </c>
      <c r="F6" s="20" t="s">
        <v>12</v>
      </c>
      <c r="G6" s="11" t="s">
        <v>125</v>
      </c>
      <c r="H6" s="11" t="s">
        <v>128</v>
      </c>
      <c r="I6" s="11" t="s">
        <v>133</v>
      </c>
      <c r="J6" s="11" t="s">
        <v>11</v>
      </c>
      <c r="K6" s="11" t="s">
        <v>141</v>
      </c>
      <c r="L6" s="11" t="s">
        <v>33</v>
      </c>
      <c r="M6" s="11" t="s">
        <v>145</v>
      </c>
      <c r="N6" s="11" t="s">
        <v>39</v>
      </c>
      <c r="O6" s="37">
        <v>46175</v>
      </c>
      <c r="P6" s="38" t="s">
        <v>147</v>
      </c>
    </row>
    <row r="7" spans="1:22" ht="21" x14ac:dyDescent="0.3">
      <c r="A7" s="5"/>
      <c r="B7" s="20"/>
      <c r="C7" s="11"/>
      <c r="D7" s="20"/>
      <c r="E7" s="19"/>
      <c r="F7" s="20"/>
      <c r="G7" s="11"/>
      <c r="H7" s="11"/>
      <c r="I7" s="11"/>
      <c r="J7" s="11"/>
      <c r="K7" s="11"/>
      <c r="L7" s="11"/>
      <c r="M7" s="11"/>
      <c r="N7" s="11"/>
      <c r="O7" s="37"/>
      <c r="P7" s="29"/>
    </row>
    <row r="8" spans="1:22" ht="409.6" x14ac:dyDescent="0.3">
      <c r="A8" s="5" t="s">
        <v>27</v>
      </c>
      <c r="B8" s="20" t="s">
        <v>45</v>
      </c>
      <c r="C8" s="11" t="s">
        <v>117</v>
      </c>
      <c r="D8" s="11" t="s">
        <v>11</v>
      </c>
      <c r="E8" s="19" t="s">
        <v>58</v>
      </c>
      <c r="F8" s="20" t="s">
        <v>19</v>
      </c>
      <c r="G8" s="11" t="s">
        <v>11</v>
      </c>
      <c r="H8" s="11" t="s">
        <v>98</v>
      </c>
      <c r="I8" s="11" t="s">
        <v>134</v>
      </c>
      <c r="J8" s="11" t="s">
        <v>11</v>
      </c>
      <c r="K8" s="11" t="s">
        <v>142</v>
      </c>
      <c r="L8" s="11" t="s">
        <v>35</v>
      </c>
      <c r="M8" s="11" t="s">
        <v>145</v>
      </c>
      <c r="N8" s="11" t="s">
        <v>37</v>
      </c>
      <c r="O8" s="37">
        <v>46198</v>
      </c>
      <c r="P8" s="38" t="s">
        <v>11</v>
      </c>
    </row>
    <row r="9" spans="1:22" ht="306" x14ac:dyDescent="0.3">
      <c r="A9" s="5" t="s">
        <v>28</v>
      </c>
      <c r="B9" s="20" t="s">
        <v>45</v>
      </c>
      <c r="C9" s="11" t="s">
        <v>118</v>
      </c>
      <c r="D9" s="11" t="s">
        <v>11</v>
      </c>
      <c r="E9" s="19" t="s">
        <v>52</v>
      </c>
      <c r="F9" s="20" t="s">
        <v>18</v>
      </c>
      <c r="G9" s="11" t="s">
        <v>11</v>
      </c>
      <c r="H9" s="11" t="s">
        <v>129</v>
      </c>
      <c r="I9" s="11" t="s">
        <v>135</v>
      </c>
      <c r="J9" s="11" t="s">
        <v>11</v>
      </c>
      <c r="K9" s="11" t="s">
        <v>143</v>
      </c>
      <c r="L9" s="11" t="s">
        <v>30</v>
      </c>
      <c r="M9" s="11" t="s">
        <v>145</v>
      </c>
      <c r="N9" s="11" t="s">
        <v>37</v>
      </c>
      <c r="O9" s="37">
        <v>46198</v>
      </c>
      <c r="P9" s="38" t="s">
        <v>11</v>
      </c>
    </row>
    <row r="10" spans="1:22" ht="409.6" x14ac:dyDescent="0.3">
      <c r="A10" s="5" t="s">
        <v>26</v>
      </c>
      <c r="B10" s="20" t="s">
        <v>45</v>
      </c>
      <c r="C10" s="11" t="s">
        <v>11</v>
      </c>
      <c r="D10" s="20" t="s">
        <v>122</v>
      </c>
      <c r="E10" s="19" t="s">
        <v>60</v>
      </c>
      <c r="F10" s="20" t="s">
        <v>20</v>
      </c>
      <c r="G10" s="11" t="s">
        <v>11</v>
      </c>
      <c r="H10" s="11" t="s">
        <v>130</v>
      </c>
      <c r="I10" s="11" t="s">
        <v>136</v>
      </c>
      <c r="J10" s="11" t="s">
        <v>138</v>
      </c>
      <c r="K10" s="11" t="s">
        <v>144</v>
      </c>
      <c r="L10" s="11" t="s">
        <v>41</v>
      </c>
      <c r="M10" s="11" t="s">
        <v>145</v>
      </c>
      <c r="N10" s="11" t="s">
        <v>37</v>
      </c>
      <c r="O10" s="37">
        <v>46198</v>
      </c>
      <c r="P10" s="38" t="s">
        <v>11</v>
      </c>
    </row>
    <row r="11" spans="1:22" ht="21" x14ac:dyDescent="0.3">
      <c r="A11" s="5"/>
      <c r="B11" s="20"/>
      <c r="C11" s="11"/>
      <c r="D11" s="20"/>
      <c r="E11" s="19"/>
      <c r="F11" s="20"/>
      <c r="G11" s="11"/>
      <c r="H11" s="11"/>
      <c r="I11" s="11"/>
      <c r="J11" s="11"/>
      <c r="K11" s="11"/>
      <c r="L11" s="11"/>
      <c r="M11" s="11"/>
      <c r="N11" s="11"/>
      <c r="O11" s="37"/>
      <c r="P11" s="29"/>
    </row>
    <row r="12" spans="1:22" ht="21" x14ac:dyDescent="0.3">
      <c r="A12" s="5"/>
      <c r="B12" s="20"/>
      <c r="C12" s="11"/>
      <c r="D12" s="20"/>
      <c r="E12" s="19"/>
      <c r="F12" s="20"/>
      <c r="G12" s="11"/>
      <c r="H12" s="11"/>
      <c r="I12" s="11"/>
      <c r="J12" s="11"/>
      <c r="K12" s="11"/>
      <c r="L12" s="11"/>
      <c r="M12" s="11"/>
      <c r="N12" s="11"/>
      <c r="O12" s="37"/>
      <c r="P12" s="29"/>
    </row>
    <row r="13" spans="1:22" s="4" customFormat="1" ht="14.4" x14ac:dyDescent="0.3">
      <c r="O13" s="36"/>
    </row>
    <row r="14" spans="1:22" s="4" customFormat="1" ht="14.4" x14ac:dyDescent="0.3">
      <c r="O14" s="36"/>
    </row>
    <row r="15" spans="1:22" s="4" customFormat="1" ht="14.4" x14ac:dyDescent="0.3">
      <c r="O15" s="36"/>
    </row>
    <row r="16" spans="1:22" s="4" customFormat="1" ht="14.4" x14ac:dyDescent="0.3">
      <c r="O16" s="36"/>
    </row>
    <row r="17" spans="15:15" s="4" customFormat="1" ht="14.4" x14ac:dyDescent="0.3">
      <c r="O17" s="36"/>
    </row>
    <row r="18" spans="15:15" s="4" customFormat="1" ht="14.4" x14ac:dyDescent="0.3">
      <c r="O18" s="36"/>
    </row>
    <row r="19" spans="15:15" s="4" customFormat="1" ht="14.4" x14ac:dyDescent="0.3">
      <c r="O19" s="36"/>
    </row>
    <row r="20" spans="15:15" s="4" customFormat="1" ht="14.4" x14ac:dyDescent="0.3">
      <c r="O20" s="36"/>
    </row>
    <row r="21" spans="15:15" s="4" customFormat="1" ht="14.4" x14ac:dyDescent="0.3">
      <c r="O21" s="36"/>
    </row>
    <row r="22" spans="15:15" s="4" customFormat="1" ht="14.4" x14ac:dyDescent="0.3">
      <c r="O22" s="36"/>
    </row>
    <row r="23" spans="15:15" s="4" customFormat="1" ht="14.4" x14ac:dyDescent="0.3">
      <c r="O23" s="36"/>
    </row>
    <row r="24" spans="15:15" s="4" customFormat="1" ht="14.4" x14ac:dyDescent="0.3">
      <c r="O24" s="36"/>
    </row>
    <row r="25" spans="15:15" s="4" customFormat="1" ht="14.4" x14ac:dyDescent="0.3">
      <c r="O25" s="36"/>
    </row>
    <row r="26" spans="15:15" s="4" customFormat="1" ht="14.4" x14ac:dyDescent="0.3">
      <c r="O26" s="36"/>
    </row>
    <row r="27" spans="15:15" s="4" customFormat="1" ht="14.4" x14ac:dyDescent="0.3">
      <c r="O27" s="36"/>
    </row>
    <row r="28" spans="15:15" s="4" customFormat="1" ht="14.4" x14ac:dyDescent="0.3">
      <c r="O28" s="36"/>
    </row>
    <row r="29" spans="15:15" s="4" customFormat="1" ht="14.4" x14ac:dyDescent="0.3">
      <c r="O29" s="36"/>
    </row>
    <row r="30" spans="15:15" s="4" customFormat="1" ht="14.4" x14ac:dyDescent="0.3">
      <c r="O30" s="36"/>
    </row>
    <row r="31" spans="15:15" s="4" customFormat="1" ht="14.4" x14ac:dyDescent="0.3">
      <c r="O31" s="36"/>
    </row>
    <row r="32" spans="15:15" s="4" customFormat="1" ht="14.4" x14ac:dyDescent="0.3">
      <c r="O32" s="36"/>
    </row>
    <row r="33" spans="15:15" s="4" customFormat="1" ht="14.4" x14ac:dyDescent="0.3">
      <c r="O33" s="36"/>
    </row>
    <row r="34" spans="15:15" s="4" customFormat="1" ht="14.4" x14ac:dyDescent="0.3">
      <c r="O34" s="36"/>
    </row>
    <row r="35" spans="15:15" s="4" customFormat="1" ht="14.4" x14ac:dyDescent="0.3">
      <c r="O35" s="36"/>
    </row>
    <row r="36" spans="15:15" s="4" customFormat="1" ht="14.4" x14ac:dyDescent="0.3">
      <c r="O36" s="36"/>
    </row>
    <row r="37" spans="15:15" s="4" customFormat="1" ht="14.4" x14ac:dyDescent="0.3">
      <c r="O37" s="36"/>
    </row>
    <row r="38" spans="15:15" s="4" customFormat="1" ht="14.4" x14ac:dyDescent="0.3">
      <c r="O38" s="36"/>
    </row>
    <row r="39" spans="15:15" s="4" customFormat="1" ht="14.4" x14ac:dyDescent="0.3">
      <c r="O39" s="36"/>
    </row>
    <row r="40" spans="15:15" s="4" customFormat="1" ht="14.4" x14ac:dyDescent="0.3">
      <c r="O40" s="36"/>
    </row>
    <row r="41" spans="15:15" s="4" customFormat="1" ht="14.4" x14ac:dyDescent="0.3">
      <c r="O41" s="36"/>
    </row>
    <row r="42" spans="15:15" s="4" customFormat="1" ht="14.4" x14ac:dyDescent="0.3">
      <c r="O42" s="36"/>
    </row>
    <row r="43" spans="15:15" s="4" customFormat="1" ht="14.4" x14ac:dyDescent="0.3">
      <c r="O43" s="36"/>
    </row>
    <row r="44" spans="15:15" s="4" customFormat="1" ht="14.4" x14ac:dyDescent="0.3">
      <c r="O44" s="36"/>
    </row>
    <row r="45" spans="15:15" s="4" customFormat="1" ht="14.4" x14ac:dyDescent="0.3">
      <c r="O45" s="36"/>
    </row>
    <row r="46" spans="15:15" s="4" customFormat="1" ht="14.4" x14ac:dyDescent="0.3">
      <c r="O46" s="36"/>
    </row>
    <row r="47" spans="15:15" s="4" customFormat="1" ht="14.4" x14ac:dyDescent="0.3">
      <c r="O47" s="36"/>
    </row>
    <row r="48" spans="15:15" s="4" customFormat="1" ht="14.4" x14ac:dyDescent="0.3">
      <c r="O48" s="36"/>
    </row>
    <row r="49" spans="15:15" s="4" customFormat="1" ht="14.4" x14ac:dyDescent="0.3">
      <c r="O49" s="36"/>
    </row>
    <row r="50" spans="15:15" s="4" customFormat="1" ht="14.4" x14ac:dyDescent="0.3">
      <c r="O50" s="36"/>
    </row>
    <row r="51" spans="15:15" s="4" customFormat="1" ht="14.4" x14ac:dyDescent="0.3">
      <c r="O51" s="36"/>
    </row>
    <row r="52" spans="15:15" s="4" customFormat="1" ht="14.4" x14ac:dyDescent="0.3">
      <c r="O52" s="36"/>
    </row>
    <row r="53" spans="15:15" s="4" customFormat="1" ht="14.4" x14ac:dyDescent="0.3">
      <c r="O53" s="36"/>
    </row>
    <row r="54" spans="15:15" s="4" customFormat="1" ht="14.4" x14ac:dyDescent="0.3">
      <c r="O54" s="36"/>
    </row>
    <row r="55" spans="15:15" s="4" customFormat="1" ht="14.4" x14ac:dyDescent="0.3">
      <c r="O55" s="36"/>
    </row>
    <row r="56" spans="15:15" s="4" customFormat="1" ht="14.4" x14ac:dyDescent="0.3">
      <c r="O56" s="36"/>
    </row>
    <row r="57" spans="15:15" s="4" customFormat="1" ht="14.4" x14ac:dyDescent="0.3">
      <c r="O57" s="36"/>
    </row>
    <row r="58" spans="15:15" s="4" customFormat="1" ht="14.4" x14ac:dyDescent="0.3">
      <c r="O58" s="36"/>
    </row>
    <row r="59" spans="15:15" s="4" customFormat="1" ht="14.4" x14ac:dyDescent="0.3">
      <c r="O59" s="36"/>
    </row>
    <row r="60" spans="15:15" s="4" customFormat="1" ht="14.4" x14ac:dyDescent="0.3">
      <c r="O60" s="36"/>
    </row>
    <row r="61" spans="15:15" s="4" customFormat="1" ht="14.4" x14ac:dyDescent="0.3">
      <c r="O61" s="36"/>
    </row>
    <row r="62" spans="15:15" s="4" customFormat="1" ht="14.4" x14ac:dyDescent="0.3">
      <c r="O62" s="36"/>
    </row>
    <row r="63" spans="15:15" s="4" customFormat="1" ht="14.4" x14ac:dyDescent="0.3">
      <c r="O63" s="36"/>
    </row>
    <row r="64" spans="15:15" s="4" customFormat="1" ht="14.4" x14ac:dyDescent="0.3">
      <c r="O64" s="36"/>
    </row>
    <row r="65" spans="15:15" s="4" customFormat="1" ht="14.4" x14ac:dyDescent="0.3">
      <c r="O65" s="36"/>
    </row>
    <row r="66" spans="15:15" s="4" customFormat="1" ht="14.4" x14ac:dyDescent="0.3">
      <c r="O66" s="36"/>
    </row>
    <row r="67" spans="15:15" s="4" customFormat="1" ht="14.4" x14ac:dyDescent="0.3">
      <c r="O67" s="36"/>
    </row>
    <row r="68" spans="15:15" s="4" customFormat="1" ht="14.4" x14ac:dyDescent="0.3">
      <c r="O68" s="36"/>
    </row>
    <row r="69" spans="15:15" s="4" customFormat="1" ht="14.4" x14ac:dyDescent="0.3">
      <c r="O69" s="36"/>
    </row>
    <row r="70" spans="15:15" s="4" customFormat="1" ht="14.4" x14ac:dyDescent="0.3">
      <c r="O70" s="36"/>
    </row>
    <row r="71" spans="15:15" s="4" customFormat="1" ht="14.4" x14ac:dyDescent="0.3">
      <c r="O71" s="36"/>
    </row>
    <row r="72" spans="15:15" s="4" customFormat="1" ht="14.4" x14ac:dyDescent="0.3">
      <c r="O72" s="36"/>
    </row>
    <row r="73" spans="15:15" s="4" customFormat="1" ht="14.4" x14ac:dyDescent="0.3">
      <c r="O73" s="36"/>
    </row>
  </sheetData>
  <mergeCells count="1">
    <mergeCell ref="A1:P1"/>
  </mergeCells>
  <conditionalFormatting sqref="B4:O12">
    <cfRule type="expression" dxfId="6" priority="1" stopIfTrue="1">
      <formula>$B4="In production"</formula>
    </cfRule>
  </conditionalFormatting>
  <dataValidations count="1">
    <dataValidation type="list" allowBlank="1" showInputMessage="1" showErrorMessage="1" sqref="B4 B5 B6 B7 B8 B9 B10 B11 B12" xr:uid="{0B5B5E1A-1C30-4A21-80FC-430350562D24}">
      <formula1>"In staging,In production"</formula1>
    </dataValidation>
  </dataValidations>
  <pageMargins left="0.511811024" right="0.511811024" top="0.78740157499999996" bottom="0.78740157499999996" header="0.31496062000000002" footer="0.31496062000000002"/>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84FA-FF7A-4709-A413-57B56D7B276B}">
  <sheetPr>
    <tabColor theme="6" tint="-0.499984740745262"/>
  </sheetPr>
  <dimension ref="A1:Q68"/>
  <sheetViews>
    <sheetView showGridLines="0" zoomScale="70" zoomScaleNormal="70" workbookViewId="0">
      <pane xSplit="2" ySplit="2" topLeftCell="H3" activePane="bottomRight" state="frozen"/>
      <selection pane="topRight" activeCell="C1" sqref="C1"/>
      <selection pane="bottomLeft" activeCell="A3" sqref="A3"/>
      <selection pane="bottomRight" activeCell="J4" sqref="J4"/>
    </sheetView>
  </sheetViews>
  <sheetFormatPr defaultColWidth="8.88671875" defaultRowHeight="14.4" x14ac:dyDescent="0.3"/>
  <cols>
    <col min="1" max="1" width="87.44140625" style="4" bestFit="1" customWidth="1"/>
    <col min="2" max="2" width="16.33203125" style="4" customWidth="1"/>
    <col min="3" max="3" width="18.6640625" style="4" customWidth="1"/>
    <col min="4" max="4" width="35.6640625" style="4" bestFit="1" customWidth="1"/>
    <col min="5" max="5" width="11.6640625" style="4" bestFit="1" customWidth="1"/>
    <col min="6" max="6" width="25" style="4" bestFit="1" customWidth="1"/>
    <col min="7" max="7" width="51.33203125" style="4" bestFit="1" customWidth="1"/>
    <col min="8" max="8" width="166.33203125" style="4" bestFit="1" customWidth="1"/>
    <col min="9" max="9" width="41.88671875" style="4" bestFit="1" customWidth="1"/>
    <col min="10" max="10" width="41.88671875" style="41" customWidth="1"/>
    <col min="11" max="11" width="63" style="4" bestFit="1" customWidth="1"/>
    <col min="12" max="12" width="26.33203125" style="3" bestFit="1" customWidth="1"/>
    <col min="13" max="13" width="21.6640625" style="3" bestFit="1" customWidth="1"/>
    <col min="14" max="14" width="13.33203125" style="3" bestFit="1" customWidth="1"/>
    <col min="15" max="15" width="15.5546875" style="3" bestFit="1" customWidth="1"/>
    <col min="16" max="16" width="26.33203125" style="3" bestFit="1" customWidth="1"/>
    <col min="17" max="17" width="21.6640625" style="3" bestFit="1" customWidth="1"/>
    <col min="18" max="16384" width="8.88671875" style="3"/>
  </cols>
  <sheetData>
    <row r="1" spans="1:17" ht="43.8" x14ac:dyDescent="0.3">
      <c r="A1" s="57" t="s">
        <v>99</v>
      </c>
      <c r="B1" s="58"/>
      <c r="C1" s="58"/>
      <c r="D1" s="58"/>
      <c r="E1" s="58"/>
      <c r="F1" s="58"/>
      <c r="G1" s="58"/>
      <c r="H1" s="58"/>
      <c r="I1" s="58"/>
      <c r="J1" s="58"/>
      <c r="K1" s="58"/>
      <c r="L1" s="13"/>
      <c r="M1" s="13"/>
      <c r="N1" s="13"/>
      <c r="O1" s="13"/>
      <c r="P1" s="13"/>
      <c r="Q1" s="13"/>
    </row>
    <row r="2" spans="1:17" ht="18" x14ac:dyDescent="0.3">
      <c r="A2" s="14" t="s">
        <v>100</v>
      </c>
      <c r="B2" s="2" t="s">
        <v>1</v>
      </c>
      <c r="C2" s="2" t="s">
        <v>90</v>
      </c>
      <c r="D2" s="2" t="s">
        <v>91</v>
      </c>
      <c r="E2" s="2" t="s">
        <v>67</v>
      </c>
      <c r="F2" s="1" t="s">
        <v>69</v>
      </c>
      <c r="G2" s="1" t="s">
        <v>72</v>
      </c>
      <c r="H2" s="2" t="s">
        <v>92</v>
      </c>
      <c r="I2" s="2" t="s">
        <v>101</v>
      </c>
      <c r="J2" s="39" t="s">
        <v>75</v>
      </c>
      <c r="K2" s="1" t="s">
        <v>77</v>
      </c>
    </row>
    <row r="3" spans="1:17" ht="18" x14ac:dyDescent="0.3">
      <c r="A3" s="15"/>
      <c r="B3" s="16"/>
      <c r="C3" s="16"/>
      <c r="D3" s="16"/>
      <c r="E3" s="16"/>
      <c r="F3" s="16"/>
      <c r="G3" s="16"/>
      <c r="H3" s="16"/>
      <c r="I3" s="16"/>
      <c r="J3" s="40"/>
      <c r="K3" s="15"/>
    </row>
    <row r="4" spans="1:17" ht="108" x14ac:dyDescent="0.3">
      <c r="A4" s="21" t="s">
        <v>108</v>
      </c>
      <c r="B4" s="20" t="s">
        <v>46</v>
      </c>
      <c r="C4" s="11" t="s">
        <v>11</v>
      </c>
      <c r="D4" s="11" t="s">
        <v>111</v>
      </c>
      <c r="E4" s="11" t="s">
        <v>47</v>
      </c>
      <c r="F4" s="19" t="s">
        <v>59</v>
      </c>
      <c r="G4" s="11" t="s">
        <v>11</v>
      </c>
      <c r="H4" s="11" t="s">
        <v>102</v>
      </c>
      <c r="I4" s="20" t="s">
        <v>104</v>
      </c>
      <c r="J4" s="37">
        <v>46175</v>
      </c>
      <c r="K4" s="11" t="s">
        <v>11</v>
      </c>
    </row>
    <row r="5" spans="1:17" ht="126" x14ac:dyDescent="0.3">
      <c r="A5" s="22" t="s">
        <v>109</v>
      </c>
      <c r="B5" s="20" t="s">
        <v>46</v>
      </c>
      <c r="C5" s="11" t="s">
        <v>11</v>
      </c>
      <c r="D5" s="11" t="s">
        <v>112</v>
      </c>
      <c r="E5" s="11" t="s">
        <v>47</v>
      </c>
      <c r="F5" s="19" t="s">
        <v>59</v>
      </c>
      <c r="G5" s="20" t="s">
        <v>113</v>
      </c>
      <c r="H5" s="11" t="s">
        <v>103</v>
      </c>
      <c r="I5" s="20" t="s">
        <v>105</v>
      </c>
      <c r="J5" s="37">
        <v>46175</v>
      </c>
      <c r="K5" s="11" t="s">
        <v>11</v>
      </c>
    </row>
    <row r="6" spans="1:17" ht="21" x14ac:dyDescent="0.3">
      <c r="A6" s="22"/>
      <c r="B6" s="20"/>
      <c r="C6" s="11"/>
      <c r="D6" s="11"/>
      <c r="E6" s="11"/>
      <c r="F6" s="19"/>
      <c r="G6" s="11"/>
      <c r="H6" s="11"/>
      <c r="I6" s="20"/>
      <c r="J6" s="37"/>
      <c r="K6" s="11"/>
    </row>
    <row r="7" spans="1:17" ht="84" x14ac:dyDescent="0.3">
      <c r="A7" s="22" t="s">
        <v>110</v>
      </c>
      <c r="B7" s="20" t="s">
        <v>46</v>
      </c>
      <c r="C7" s="11" t="s">
        <v>11</v>
      </c>
      <c r="D7" s="37">
        <v>46175</v>
      </c>
      <c r="E7" s="11" t="s">
        <v>50</v>
      </c>
      <c r="F7" s="19" t="s">
        <v>61</v>
      </c>
      <c r="G7" s="11" t="s">
        <v>11</v>
      </c>
      <c r="H7" s="11" t="s">
        <v>103</v>
      </c>
      <c r="I7" s="20" t="s">
        <v>21</v>
      </c>
      <c r="J7" s="37">
        <v>46198</v>
      </c>
      <c r="K7" s="11" t="s">
        <v>11</v>
      </c>
    </row>
    <row r="8" spans="1:17" s="4" customFormat="1" x14ac:dyDescent="0.3">
      <c r="J8" s="41"/>
    </row>
    <row r="9" spans="1:17" s="4" customFormat="1" x14ac:dyDescent="0.3">
      <c r="J9" s="41"/>
    </row>
    <row r="10" spans="1:17" s="4" customFormat="1" x14ac:dyDescent="0.3">
      <c r="J10" s="41"/>
    </row>
    <row r="11" spans="1:17" s="4" customFormat="1" x14ac:dyDescent="0.3">
      <c r="J11" s="41"/>
    </row>
    <row r="12" spans="1:17" s="4" customFormat="1" x14ac:dyDescent="0.3">
      <c r="J12" s="41"/>
    </row>
    <row r="13" spans="1:17" s="4" customFormat="1" x14ac:dyDescent="0.3">
      <c r="J13" s="41"/>
    </row>
    <row r="14" spans="1:17" s="4" customFormat="1" x14ac:dyDescent="0.3">
      <c r="J14" s="41"/>
    </row>
    <row r="15" spans="1:17" s="4" customFormat="1" x14ac:dyDescent="0.3">
      <c r="J15" s="41"/>
    </row>
    <row r="16" spans="1:17" s="4" customFormat="1" x14ac:dyDescent="0.3">
      <c r="J16" s="41"/>
    </row>
    <row r="17" spans="10:10" s="4" customFormat="1" x14ac:dyDescent="0.3">
      <c r="J17" s="41"/>
    </row>
    <row r="18" spans="10:10" s="4" customFormat="1" x14ac:dyDescent="0.3">
      <c r="J18" s="41"/>
    </row>
    <row r="19" spans="10:10" s="4" customFormat="1" x14ac:dyDescent="0.3">
      <c r="J19" s="41"/>
    </row>
    <row r="20" spans="10:10" s="4" customFormat="1" x14ac:dyDescent="0.3">
      <c r="J20" s="41"/>
    </row>
    <row r="21" spans="10:10" s="4" customFormat="1" x14ac:dyDescent="0.3">
      <c r="J21" s="41"/>
    </row>
    <row r="22" spans="10:10" s="4" customFormat="1" x14ac:dyDescent="0.3">
      <c r="J22" s="41"/>
    </row>
    <row r="23" spans="10:10" s="4" customFormat="1" x14ac:dyDescent="0.3">
      <c r="J23" s="41"/>
    </row>
    <row r="24" spans="10:10" s="4" customFormat="1" x14ac:dyDescent="0.3">
      <c r="J24" s="41"/>
    </row>
    <row r="25" spans="10:10" s="4" customFormat="1" x14ac:dyDescent="0.3">
      <c r="J25" s="41"/>
    </row>
    <row r="26" spans="10:10" s="4" customFormat="1" x14ac:dyDescent="0.3">
      <c r="J26" s="41"/>
    </row>
    <row r="27" spans="10:10" s="4" customFormat="1" x14ac:dyDescent="0.3">
      <c r="J27" s="41"/>
    </row>
    <row r="28" spans="10:10" s="4" customFormat="1" x14ac:dyDescent="0.3">
      <c r="J28" s="41"/>
    </row>
    <row r="29" spans="10:10" s="4" customFormat="1" x14ac:dyDescent="0.3">
      <c r="J29" s="41"/>
    </row>
    <row r="30" spans="10:10" s="4" customFormat="1" x14ac:dyDescent="0.3">
      <c r="J30" s="41"/>
    </row>
    <row r="31" spans="10:10" s="4" customFormat="1" x14ac:dyDescent="0.3">
      <c r="J31" s="41"/>
    </row>
    <row r="32" spans="10:10" s="4" customFormat="1" x14ac:dyDescent="0.3">
      <c r="J32" s="41"/>
    </row>
    <row r="33" spans="10:10" s="4" customFormat="1" x14ac:dyDescent="0.3">
      <c r="J33" s="41"/>
    </row>
    <row r="34" spans="10:10" s="4" customFormat="1" x14ac:dyDescent="0.3">
      <c r="J34" s="41"/>
    </row>
    <row r="35" spans="10:10" s="4" customFormat="1" x14ac:dyDescent="0.3">
      <c r="J35" s="41"/>
    </row>
    <row r="36" spans="10:10" s="4" customFormat="1" x14ac:dyDescent="0.3">
      <c r="J36" s="41"/>
    </row>
    <row r="37" spans="10:10" s="4" customFormat="1" x14ac:dyDescent="0.3">
      <c r="J37" s="41"/>
    </row>
    <row r="38" spans="10:10" s="4" customFormat="1" x14ac:dyDescent="0.3">
      <c r="J38" s="41"/>
    </row>
    <row r="39" spans="10:10" s="4" customFormat="1" x14ac:dyDescent="0.3">
      <c r="J39" s="41"/>
    </row>
    <row r="40" spans="10:10" s="4" customFormat="1" x14ac:dyDescent="0.3">
      <c r="J40" s="41"/>
    </row>
    <row r="41" spans="10:10" s="4" customFormat="1" x14ac:dyDescent="0.3">
      <c r="J41" s="41"/>
    </row>
    <row r="42" spans="10:10" s="4" customFormat="1" x14ac:dyDescent="0.3">
      <c r="J42" s="41"/>
    </row>
    <row r="43" spans="10:10" s="4" customFormat="1" x14ac:dyDescent="0.3">
      <c r="J43" s="41"/>
    </row>
    <row r="44" spans="10:10" s="4" customFormat="1" x14ac:dyDescent="0.3">
      <c r="J44" s="41"/>
    </row>
    <row r="45" spans="10:10" s="4" customFormat="1" x14ac:dyDescent="0.3">
      <c r="J45" s="41"/>
    </row>
    <row r="46" spans="10:10" s="4" customFormat="1" x14ac:dyDescent="0.3">
      <c r="J46" s="41"/>
    </row>
    <row r="47" spans="10:10" s="4" customFormat="1" x14ac:dyDescent="0.3">
      <c r="J47" s="41"/>
    </row>
    <row r="48" spans="10:10" s="4" customFormat="1" x14ac:dyDescent="0.3">
      <c r="J48" s="41"/>
    </row>
    <row r="49" spans="10:10" s="4" customFormat="1" x14ac:dyDescent="0.3">
      <c r="J49" s="41"/>
    </row>
    <row r="50" spans="10:10" s="4" customFormat="1" x14ac:dyDescent="0.3">
      <c r="J50" s="41"/>
    </row>
    <row r="51" spans="10:10" s="4" customFormat="1" x14ac:dyDescent="0.3">
      <c r="J51" s="41"/>
    </row>
    <row r="52" spans="10:10" s="4" customFormat="1" x14ac:dyDescent="0.3">
      <c r="J52" s="41"/>
    </row>
    <row r="53" spans="10:10" s="4" customFormat="1" x14ac:dyDescent="0.3">
      <c r="J53" s="41"/>
    </row>
    <row r="54" spans="10:10" s="4" customFormat="1" x14ac:dyDescent="0.3">
      <c r="J54" s="41"/>
    </row>
    <row r="55" spans="10:10" s="4" customFormat="1" x14ac:dyDescent="0.3">
      <c r="J55" s="41"/>
    </row>
    <row r="56" spans="10:10" s="4" customFormat="1" x14ac:dyDescent="0.3">
      <c r="J56" s="41"/>
    </row>
    <row r="57" spans="10:10" s="4" customFormat="1" x14ac:dyDescent="0.3">
      <c r="J57" s="41"/>
    </row>
    <row r="58" spans="10:10" s="4" customFormat="1" x14ac:dyDescent="0.3">
      <c r="J58" s="41"/>
    </row>
    <row r="59" spans="10:10" s="4" customFormat="1" x14ac:dyDescent="0.3">
      <c r="J59" s="41"/>
    </row>
    <row r="60" spans="10:10" s="4" customFormat="1" x14ac:dyDescent="0.3">
      <c r="J60" s="41"/>
    </row>
    <row r="61" spans="10:10" s="4" customFormat="1" x14ac:dyDescent="0.3">
      <c r="J61" s="41"/>
    </row>
    <row r="62" spans="10:10" s="4" customFormat="1" x14ac:dyDescent="0.3">
      <c r="J62" s="41"/>
    </row>
    <row r="63" spans="10:10" s="4" customFormat="1" x14ac:dyDescent="0.3">
      <c r="J63" s="41"/>
    </row>
    <row r="64" spans="10:10" s="4" customFormat="1" x14ac:dyDescent="0.3">
      <c r="J64" s="41"/>
    </row>
    <row r="65" spans="10:10" s="4" customFormat="1" x14ac:dyDescent="0.3">
      <c r="J65" s="41"/>
    </row>
    <row r="66" spans="10:10" s="4" customFormat="1" x14ac:dyDescent="0.3">
      <c r="J66" s="41"/>
    </row>
    <row r="67" spans="10:10" s="4" customFormat="1" x14ac:dyDescent="0.3">
      <c r="J67" s="41"/>
    </row>
    <row r="68" spans="10:10" s="4" customFormat="1" x14ac:dyDescent="0.3">
      <c r="J68" s="41"/>
    </row>
  </sheetData>
  <mergeCells count="1">
    <mergeCell ref="A1:K1"/>
  </mergeCells>
  <conditionalFormatting sqref="B7:C7 E7:K7 B6:K6 B4:I5 K4:K5">
    <cfRule type="expression" dxfId="5" priority="4" stopIfTrue="1">
      <formula>$B4="Active"</formula>
    </cfRule>
  </conditionalFormatting>
  <conditionalFormatting sqref="F4:F7">
    <cfRule type="expression" dxfId="4" priority="5" stopIfTrue="1">
      <formula>$B4="In production"</formula>
    </cfRule>
  </conditionalFormatting>
  <conditionalFormatting sqref="D7">
    <cfRule type="expression" dxfId="3" priority="3">
      <formula>$B7="Ativo"</formula>
    </cfRule>
  </conditionalFormatting>
  <conditionalFormatting sqref="J5">
    <cfRule type="expression" dxfId="2" priority="2">
      <formula>$B5="Ativo"</formula>
    </cfRule>
  </conditionalFormatting>
  <conditionalFormatting sqref="J4">
    <cfRule type="expression" dxfId="1" priority="1">
      <formula>$B4="Ativo"</formula>
    </cfRule>
  </conditionalFormatting>
  <dataValidations count="1">
    <dataValidation type="list" allowBlank="1" showInputMessage="1" showErrorMessage="1" sqref="B4:B7" xr:uid="{4D1901C6-5D1C-486D-A757-B01D40A1F22D}">
      <formula1>"Active,Inactive"</formula1>
    </dataValidation>
  </dataValidations>
  <pageMargins left="0.511811024" right="0.511811024" top="0.78740157499999996" bottom="0.78740157499999996" header="0.31496062000000002" footer="0.31496062000000002"/>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d9fd9e9c-d030-470c-abf3-6e2da7a05405" xsi:nil="true"/>
    <lcf76f155ced4ddcb4097134ff3c332f xmlns="d9fd9e9c-d030-470c-abf3-6e2da7a05405">
      <Terms xmlns="http://schemas.microsoft.com/office/infopath/2007/PartnerControls"/>
    </lcf76f155ced4ddcb4097134ff3c332f>
    <TaxCatchAll xmlns="5659d3aa-9296-4980-a58e-94cff8ca1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D98B663BE40EC545A759FA85BD847817" ma:contentTypeVersion="21" ma:contentTypeDescription="Criar um novo documento." ma:contentTypeScope="" ma:versionID="b71a1b18666e22dbcd8f42d1156de964">
  <xsd:schema xmlns:xsd="http://www.w3.org/2001/XMLSchema" xmlns:xs="http://www.w3.org/2001/XMLSchema" xmlns:p="http://schemas.microsoft.com/office/2006/metadata/properties" xmlns:ns2="5659d3aa-9296-4980-a58e-94cff8ca1f59" xmlns:ns3="d9fd9e9c-d030-470c-abf3-6e2da7a05405" targetNamespace="http://schemas.microsoft.com/office/2006/metadata/properties" ma:root="true" ma:fieldsID="e6893b348104f2760ab9e450a9d3619a" ns2:_="" ns3:_="">
    <xsd:import namespace="5659d3aa-9296-4980-a58e-94cff8ca1f59"/>
    <xsd:import namespace="d9fd9e9c-d030-470c-abf3-6e2da7a05405"/>
    <xsd:element name="properties">
      <xsd:complexType>
        <xsd:sequence>
          <xsd:element name="documentManagement">
            <xsd:complexType>
              <xsd:all>
                <xsd:element ref="ns2:SharedWithUsers" minOccurs="0"/>
                <xsd:element ref="ns2:SharedWithDetails" minOccurs="0"/>
                <xsd:element ref="ns3:_Flow_SignoffStatu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9d3aa-9296-4980-a58e-94cff8ca1f59" elementFormDefault="qualified">
    <xsd:import namespace="http://schemas.microsoft.com/office/2006/documentManagement/types"/>
    <xsd:import namespace="http://schemas.microsoft.com/office/infopath/2007/PartnerControls"/>
    <xsd:element name="SharedWithUsers" ma:index="8"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Partilhado Com" ma:internalName="SharedWithDetails" ma:readOnly="true">
      <xsd:simpleType>
        <xsd:restriction base="dms:Note">
          <xsd:maxLength value="255"/>
        </xsd:restriction>
      </xsd:simpleType>
    </xsd:element>
    <xsd:element name="TaxCatchAll" ma:index="24" nillable="true" ma:displayName="Taxonomy Catch All Column" ma:hidden="true" ma:list="{95474dae-6db7-45ca-a00c-d78d0759430a}" ma:internalName="TaxCatchAll" ma:showField="CatchAllData" ma:web="5659d3aa-9296-4980-a58e-94cff8ca1f5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fd9e9c-d030-470c-abf3-6e2da7a05405" elementFormDefault="qualified">
    <xsd:import namespace="http://schemas.microsoft.com/office/2006/documentManagement/types"/>
    <xsd:import namespace="http://schemas.microsoft.com/office/infopath/2007/PartnerControls"/>
    <xsd:element name="_Flow_SignoffStatus" ma:index="10" nillable="true" ma:displayName="Estado da aprovação" ma:internalName="Estado_x0020_da_x0020_aprova_x00e7__x00e3_o">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Etiquetas de Imagem" ma:readOnly="false" ma:fieldId="{5cf76f15-5ced-4ddc-b409-7134ff3c332f}" ma:taxonomyMulti="true" ma:sspId="d55ea14f-c190-4ea3-80d0-0168e7ab3a1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31959D-D2F7-476C-918B-F4A61369C2A1}">
  <ds:schemaRefs>
    <ds:schemaRef ds:uri="http://purl.org/dc/dcmitype/"/>
    <ds:schemaRef ds:uri="http://schemas.openxmlformats.org/package/2006/metadata/core-properties"/>
    <ds:schemaRef ds:uri="d9fd9e9c-d030-470c-abf3-6e2da7a05405"/>
    <ds:schemaRef ds:uri="http://schemas.microsoft.com/office/infopath/2007/PartnerControls"/>
    <ds:schemaRef ds:uri="5659d3aa-9296-4980-a58e-94cff8ca1f59"/>
    <ds:schemaRef ds:uri="http://schemas.microsoft.com/office/2006/documentManagement/types"/>
    <ds:schemaRef ds:uri="http://purl.org/dc/elements/1.1/"/>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C211B1B4-AF1C-4B73-9B77-BEE5AEC16E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59d3aa-9296-4980-a58e-94cff8ca1f59"/>
    <ds:schemaRef ds:uri="d9fd9e9c-d030-470c-abf3-6e2da7a054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F0A83F-076D-4E68-87CB-5E98E0F9F4A7}">
  <ds:schemaRefs>
    <ds:schemaRef ds:uri="http://schemas.microsoft.com/DataMashup"/>
  </ds:schemaRefs>
</ds:datastoreItem>
</file>

<file path=customXml/itemProps4.xml><?xml version="1.0" encoding="utf-8"?>
<ds:datastoreItem xmlns:ds="http://schemas.openxmlformats.org/officeDocument/2006/customXml" ds:itemID="{7E28BB9F-BA76-40C3-A5B2-9CBF51A7CC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Endpoints (Raw)</vt:lpstr>
      <vt:lpstr>Business Rules (Silver &amp; Gold)</vt:lpstr>
      <vt:lpstr>Automations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JOAO VICTOR KIENEN</dc:creator>
  <cp:keywords/>
  <dc:description/>
  <cp:lastModifiedBy>JOAO VICTOR KIENEN</cp:lastModifiedBy>
  <cp:revision/>
  <dcterms:created xsi:type="dcterms:W3CDTF">2026-01-22T18:26:46Z</dcterms:created>
  <dcterms:modified xsi:type="dcterms:W3CDTF">2026-06-25T20:53:05Z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0x010100D98B663BE40EC545A759FA85BD847817</vt:lpwstr>
  </property>
  <property fmtid="{D5CDD505-2E9C-101B-9397-08002B2CF9AE}" pid="3" name="MediaServiceImageTags">
    <vt:lpwstr/>
  </property>
</Properties>
</file>